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shboard" sheetId="2" state="visible" r:id="rId2"/>
    <sheet name="Settings" sheetId="3" state="visible" r:id="rId3"/>
    <sheet name="Weight" sheetId="4" state="visible" r:id="rId4"/>
    <sheet name="Activities" sheetId="5" state="visible" r:id="rId5"/>
  </sheets>
  <definedNames>
    <definedName name="ActivityTable">Settings!$A$10:$B$21</definedName>
    <definedName name="ActivityList">Settings!$A$10:$A$21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dd/mm/yyyy"/>
    <numFmt numFmtId="166" formatCode="+0.0;-0.0;0.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1F3864"/>
      <sz val="14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1F3864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pivotButton="0" quotePrefix="0" xfId="0"/>
    <xf numFmtId="0" fontId="7" fillId="0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2" fillId="4" borderId="1" pivotButton="0" quotePrefix="0" xfId="0"/>
    <xf numFmtId="164" fontId="10" fillId="4" borderId="1" applyAlignment="1" pivotButton="0" quotePrefix="0" xfId="0">
      <alignment horizontal="right"/>
    </xf>
    <xf numFmtId="1" fontId="10" fillId="4" borderId="1" applyAlignment="1" pivotButton="0" quotePrefix="0" xfId="0">
      <alignment horizontal="right"/>
    </xf>
    <xf numFmtId="166" fontId="10" fillId="4" borderId="1" applyAlignment="1" pivotButton="0" quotePrefix="0" xfId="0">
      <alignment horizontal="right"/>
    </xf>
    <xf numFmtId="9" fontId="10" fillId="4" borderId="1" applyAlignment="1" pivotButton="0" quotePrefix="0" xfId="0">
      <alignment horizontal="right"/>
    </xf>
    <xf numFmtId="165" fontId="10" fillId="4" borderId="1" applyAlignment="1" pivotButton="0" quotePrefix="0" xfId="0">
      <alignment horizontal="right"/>
    </xf>
    <xf numFmtId="3" fontId="10" fillId="4" borderId="1" applyAlignment="1" pivotButton="0" quotePrefix="0" xfId="0">
      <alignment horizontal="right"/>
    </xf>
    <xf numFmtId="0" fontId="11" fillId="0" borderId="0" pivotButton="0" quotePrefix="0" xfId="0"/>
    <xf numFmtId="0" fontId="8" fillId="3" borderId="1" applyAlignment="1" pivotButton="0" quotePrefix="0" xfId="0">
      <alignment horizontal="center"/>
    </xf>
    <xf numFmtId="0" fontId="2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5" fillId="4" borderId="1" pivotButton="0" quotePrefix="0" xfId="0"/>
    <xf numFmtId="1" fontId="5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2" fontId="6" fillId="2" borderId="1" pivotButton="0" quotePrefix="0" xfId="0"/>
    <xf numFmtId="164" fontId="6" fillId="2" borderId="1" pivotButton="0" quotePrefix="0" xfId="0"/>
    <xf numFmtId="1" fontId="6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7" fillId="0" borderId="0" applyAlignment="1" pivotButton="0" quotePrefix="0" xfId="0">
      <alignment vertical="top" wrapText="1"/>
    </xf>
    <xf numFmtId="165" fontId="6" fillId="2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008000"/>
      </font>
    </dxf>
    <dxf>
      <font>
        <name val="Arial"/>
        <color rgb="00008000"/>
      </font>
    </dxf>
    <dxf>
      <font>
        <name val="Arial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Weight (kg)</a:t>
            </a:r>
          </a:p>
        </rich>
      </tx>
    </title>
    <plotArea>
      <scatterChart>
        <ser>
          <idx val="0"/>
          <order val="0"/>
          <tx>
            <v>Weight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'Weight'!$A$2:$A$1000</f>
            </numRef>
          </xVal>
          <yVal>
            <numRef>
              <f>'Weight'!$B$2:$B$1000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numFmt formatCode="dd/mm/yy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Minutes per activity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'Dashboard'!$A$15:$A$26</f>
            </numRef>
          </cat>
          <val>
            <numRef>
              <f>'Dashboard'!$C$15:$C$26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Tracker</author>
  </authors>
  <commentList>
    <comment ref="A2" authorId="0" shapeId="0">
      <text>
        <t>Example row - overwrite it with your own first weight.</t>
      </text>
    </comment>
  </commentList>
</comments>
</file>

<file path=xl/comments/comment2.xml><?xml version="1.0" encoding="utf-8"?>
<comments xmlns="http://schemas.openxmlformats.org/spreadsheetml/2006/main">
  <authors>
    <author>Tracker</author>
  </authors>
  <commentList>
    <comment ref="F1" authorId="0" shapeId="0">
      <text>
        <t>ISO week number (weeks start on Monday).</t>
      </text>
    </comment>
    <comment ref="I1" authorId="0" shapeId="0">
      <text>
        <t>MET of the activity, from Settings. 4.0 if the activity is not in the list.</t>
      </text>
    </comment>
    <comment ref="J1" authorId="0" shapeId="0">
      <text>
        <t>Estimate: MET x weight (kg) x duration (h).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22</row>
      <rowOff>0</rowOff>
    </from>
    <ext cx="61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Activity &amp; Weight Tracker</t>
        </is>
      </c>
    </row>
    <row r="2">
      <c r="A2" s="2" t="inlineStr"/>
    </row>
    <row r="3">
      <c r="A3" s="3" t="inlineStr">
        <is>
          <t>1. Set up once</t>
        </is>
      </c>
    </row>
    <row r="4">
      <c r="A4" s="2" t="inlineStr">
        <is>
          <t>•  Settings sheet: enter your height, target weight and weekly activity goal (yellow cells).</t>
        </is>
      </c>
    </row>
    <row r="5">
      <c r="A5" s="2" t="inlineStr">
        <is>
          <t>•  Import the macros: press Alt+F11, then File &gt; Import File... and choose TrackerMacros.bas. Close the editor.</t>
        </is>
      </c>
    </row>
    <row r="6">
      <c r="A6" s="2" t="inlineStr">
        <is>
          <t>•  File &gt; Save As &gt; 'Excel Macro-Enabled Workbook (*.xlsm)'. Reopen it and click 'Enable Content' if asked.</t>
        </is>
      </c>
    </row>
    <row r="7">
      <c r="A7" s="2" t="inlineStr">
        <is>
          <t>•  Press Alt+F8, run 'SetupButtons': two buttons appear on the Dashboard.</t>
        </is>
      </c>
    </row>
    <row r="8">
      <c r="A8" s="2" t="inlineStr"/>
    </row>
    <row r="9">
      <c r="A9" s="3" t="inlineStr">
        <is>
          <t>2. Every day</t>
        </is>
      </c>
    </row>
    <row r="10">
      <c r="A10" s="2" t="inlineStr">
        <is>
          <t>•  Dashboard &gt; '+ Add activity': date, activity, duration, distance (optional), notes.</t>
        </is>
      </c>
    </row>
    <row r="11">
      <c r="A11" s="2" t="inlineStr">
        <is>
          <t>•  Dashboard &gt; '+ Add weight': date and weight. If a weight already exists for that date, you can replace it.</t>
        </is>
      </c>
    </row>
    <row r="12">
      <c r="A12" s="2" t="inlineStr">
        <is>
          <t>•  The macros sort the rows by date automatically.</t>
        </is>
      </c>
    </row>
    <row r="13">
      <c r="A13" s="2" t="inlineStr">
        <is>
          <t>•  Without macros you can also type directly in the yellow columns of the Activities and Weight sheets.</t>
        </is>
      </c>
    </row>
    <row r="14">
      <c r="A14" s="2" t="inlineStr"/>
    </row>
    <row r="15">
      <c r="A15" s="3" t="inlineStr">
        <is>
          <t>3. What is calculated</t>
        </is>
      </c>
    </row>
    <row r="16">
      <c r="A16" s="2" t="inlineStr">
        <is>
          <t>•  Calories (estimate) = MET of the activity × your weight (kg) × duration (hours). MET values are in Settings.</t>
        </is>
      </c>
    </row>
    <row r="17">
      <c r="A17" s="2" t="inlineStr">
        <is>
          <t>•  The weight used is your last weight recorded on or before the activity date.</t>
        </is>
      </c>
    </row>
    <row r="18">
      <c r="A18" s="2" t="inlineStr">
        <is>
          <t>•  Weight sheet: change vs previous measurement, BMI, 7-measurement moving average, distance to target.</t>
        </is>
      </c>
    </row>
    <row r="19">
      <c r="A19" s="2" t="inlineStr">
        <is>
          <t>•  Dashboard: current weight, progress, this week vs your goal, last 30 days, totals per activity, charts.</t>
        </is>
      </c>
    </row>
    <row r="20">
      <c r="A20" s="2" t="inlineStr"/>
    </row>
    <row r="21">
      <c r="A21" s="3" t="inlineStr">
        <is>
          <t>Legend</t>
        </is>
      </c>
    </row>
    <row r="22">
      <c r="A22" s="4" t="inlineStr">
        <is>
          <t>Yellow cells = data you enter. White cells = formulas, do not edit.</t>
        </is>
      </c>
    </row>
    <row r="23">
      <c r="A23" s="2" t="inlineStr">
        <is>
          <t>The first row of Activities and Weight is an example: overwrite or delete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  <col width="12" customWidth="1" min="5" max="5"/>
    <col width="3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Activity &amp; Weight Dashboard</t>
        </is>
      </c>
    </row>
    <row r="2">
      <c r="A2" s="6">
        <f>"Updated: "&amp;TEXT(TODAY(),"dd/mm/yyyy")</f>
        <v/>
      </c>
    </row>
    <row r="4">
      <c r="A4" s="7" t="inlineStr">
        <is>
          <t>Weight</t>
        </is>
      </c>
      <c r="B4" s="8" t="n"/>
      <c r="D4" s="7" t="inlineStr">
        <is>
          <t>Activity</t>
        </is>
      </c>
      <c r="E4" s="8" t="n"/>
      <c r="H4" s="9" t="inlineStr">
        <is>
          <t>Buttons appear here after running the SetupButtons macro (see Instructions).</t>
        </is>
      </c>
    </row>
    <row r="5">
      <c r="A5" s="10" t="inlineStr">
        <is>
          <t>Current weight (kg)</t>
        </is>
      </c>
      <c r="B5" s="11">
        <f>IFERROR(INDEX(Weight!$B$2:$B$1000,MATCH(MAX(Weight!$A$2:$A$1000),Weight!$A$2:$A$1000,0)),"-")</f>
        <v/>
      </c>
      <c r="D5" s="10" t="inlineStr">
        <is>
          <t>Minutes this week</t>
        </is>
      </c>
      <c r="E5" s="12">
        <f>SUMIFS(Activities!$C$2:$C$1000,Activities!$A$2:$A$1000,"&gt;="&amp;TODAY()-WEEKDAY(TODAY(),2)+1,Activities!$A$2:$A$1000,"&lt;="&amp;TODAY())</f>
        <v/>
      </c>
    </row>
    <row r="6">
      <c r="A6" s="10" t="inlineStr">
        <is>
          <t>Starting weight (kg)</t>
        </is>
      </c>
      <c r="B6" s="11">
        <f>IFERROR(INDEX(Weight!$B$2:$B$1000,MATCH(_xlfn.MINIFS(Weight!$A$2:$A$1000,Weight!$A$2:$A$1000,"&gt;0"),Weight!$A$2:$A$1000,0)),"-")</f>
        <v/>
      </c>
      <c r="D6" s="10" t="inlineStr">
        <is>
          <t>Weekly goal (min)</t>
        </is>
      </c>
      <c r="E6" s="12">
        <f>Settings!$B$5</f>
        <v/>
      </c>
    </row>
    <row r="7">
      <c r="A7" s="10" t="inlineStr">
        <is>
          <t>Change since start (kg)</t>
        </is>
      </c>
      <c r="B7" s="13">
        <f>IFERROR(B5-B6,"-")</f>
        <v/>
      </c>
      <c r="D7" s="10" t="inlineStr">
        <is>
          <t>% of weekly goal</t>
        </is>
      </c>
      <c r="E7" s="14">
        <f>IFERROR(E5/E6,0)</f>
        <v/>
      </c>
    </row>
    <row r="8">
      <c r="A8" s="10" t="inlineStr">
        <is>
          <t>Target weight (kg)</t>
        </is>
      </c>
      <c r="B8" s="11">
        <f>Settings!$B$4</f>
        <v/>
      </c>
      <c r="D8" s="10" t="inlineStr">
        <is>
          <t>Sessions - last 30 days</t>
        </is>
      </c>
      <c r="E8" s="12">
        <f>COUNTIFS(Activities!$A$2:$A$1000,"&gt;"&amp;TODAY()-30,Activities!$A$2:$A$1000,"&lt;="&amp;TODAY())</f>
        <v/>
      </c>
    </row>
    <row r="9">
      <c r="A9" s="10" t="inlineStr">
        <is>
          <t>Still to go (kg)</t>
        </is>
      </c>
      <c r="B9" s="13">
        <f>IFERROR(B5-B8,"-")</f>
        <v/>
      </c>
      <c r="D9" s="10" t="inlineStr">
        <is>
          <t>Minutes - last 30 days</t>
        </is>
      </c>
      <c r="E9" s="12">
        <f>SUMIFS(Activities!$C$2:$C$1000,Activities!$A$2:$A$1000,"&gt;"&amp;TODAY()-30,Activities!$A$2:$A$1000,"&lt;="&amp;TODAY())</f>
        <v/>
      </c>
    </row>
    <row r="10">
      <c r="A10" s="10" t="inlineStr">
        <is>
          <t>BMI</t>
        </is>
      </c>
      <c r="B10" s="11">
        <f>IFERROR(B5/Settings!$B$3^2,"-")</f>
        <v/>
      </c>
      <c r="D10" s="10" t="inlineStr">
        <is>
          <t>Km - last 30 days</t>
        </is>
      </c>
      <c r="E10" s="11">
        <f>SUMIFS(Activities!$D$2:$D$1000,Activities!$A$2:$A$1000,"&gt;"&amp;TODAY()-30,Activities!$A$2:$A$1000,"&lt;="&amp;TODAY())</f>
        <v/>
      </c>
    </row>
    <row r="11">
      <c r="A11" s="10" t="inlineStr">
        <is>
          <t>Last weigh-in</t>
        </is>
      </c>
      <c r="B11" s="15">
        <f>IF(COUNT(Weight!$A$2:$A$1000)=0,"-",MAX(Weight!$A$2:$A$1000))</f>
        <v/>
      </c>
      <c r="D11" s="10" t="inlineStr">
        <is>
          <t>Kcal - last 30 days</t>
        </is>
      </c>
      <c r="E11" s="16">
        <f>SUMIFS(Activities!$J$2:$J$1000,Activities!$A$2:$A$1000,"&gt;"&amp;TODAY()-30,Activities!$A$2:$A$1000,"&lt;="&amp;TODAY())</f>
        <v/>
      </c>
    </row>
    <row r="13">
      <c r="A13" s="17" t="inlineStr">
        <is>
          <t>Totals per activity (all time)</t>
        </is>
      </c>
    </row>
    <row r="14">
      <c r="A14" s="18" t="inlineStr">
        <is>
          <t>Activity</t>
        </is>
      </c>
      <c r="B14" s="18" t="inlineStr">
        <is>
          <t>Sessions</t>
        </is>
      </c>
      <c r="C14" s="18" t="inlineStr">
        <is>
          <t>Minutes</t>
        </is>
      </c>
      <c r="D14" s="18" t="inlineStr">
        <is>
          <t>Km</t>
        </is>
      </c>
      <c r="E14" s="18" t="inlineStr">
        <is>
          <t>Kcal (est.)</t>
        </is>
      </c>
    </row>
    <row r="15">
      <c r="A15" s="19">
        <f>Settings!$A$10</f>
        <v/>
      </c>
      <c r="B15" s="20">
        <f>IF(A15="",0,COUNTIFS(Activities!$B$2:$B$1000,A15))</f>
        <v/>
      </c>
      <c r="C15" s="20">
        <f>IF(A15="",0,SUMIFS(Activities!$C$2:$C$1000,Activities!$B$2:$B$1000,A15))</f>
        <v/>
      </c>
      <c r="D15" s="21">
        <f>IF(A15="",0,SUMIFS(Activities!$D$2:$D$1000,Activities!$B$2:$B$1000,A15))</f>
        <v/>
      </c>
      <c r="E15" s="22">
        <f>IF(A15="",0,SUMIFS(Activities!$J$2:$J$1000,Activities!$B$2:$B$1000,A15))</f>
        <v/>
      </c>
    </row>
    <row r="16">
      <c r="A16" s="19">
        <f>Settings!$A$11</f>
        <v/>
      </c>
      <c r="B16" s="20">
        <f>IF(A16="",0,COUNTIFS(Activities!$B$2:$B$1000,A16))</f>
        <v/>
      </c>
      <c r="C16" s="20">
        <f>IF(A16="",0,SUMIFS(Activities!$C$2:$C$1000,Activities!$B$2:$B$1000,A16))</f>
        <v/>
      </c>
      <c r="D16" s="21">
        <f>IF(A16="",0,SUMIFS(Activities!$D$2:$D$1000,Activities!$B$2:$B$1000,A16))</f>
        <v/>
      </c>
      <c r="E16" s="22">
        <f>IF(A16="",0,SUMIFS(Activities!$J$2:$J$1000,Activities!$B$2:$B$1000,A16))</f>
        <v/>
      </c>
    </row>
    <row r="17">
      <c r="A17" s="19">
        <f>Settings!$A$12</f>
        <v/>
      </c>
      <c r="B17" s="20">
        <f>IF(A17="",0,COUNTIFS(Activities!$B$2:$B$1000,A17))</f>
        <v/>
      </c>
      <c r="C17" s="20">
        <f>IF(A17="",0,SUMIFS(Activities!$C$2:$C$1000,Activities!$B$2:$B$1000,A17))</f>
        <v/>
      </c>
      <c r="D17" s="21">
        <f>IF(A17="",0,SUMIFS(Activities!$D$2:$D$1000,Activities!$B$2:$B$1000,A17))</f>
        <v/>
      </c>
      <c r="E17" s="22">
        <f>IF(A17="",0,SUMIFS(Activities!$J$2:$J$1000,Activities!$B$2:$B$1000,A17))</f>
        <v/>
      </c>
    </row>
    <row r="18">
      <c r="A18" s="19">
        <f>Settings!$A$13</f>
        <v/>
      </c>
      <c r="B18" s="20">
        <f>IF(A18="",0,COUNTIFS(Activities!$B$2:$B$1000,A18))</f>
        <v/>
      </c>
      <c r="C18" s="20">
        <f>IF(A18="",0,SUMIFS(Activities!$C$2:$C$1000,Activities!$B$2:$B$1000,A18))</f>
        <v/>
      </c>
      <c r="D18" s="21">
        <f>IF(A18="",0,SUMIFS(Activities!$D$2:$D$1000,Activities!$B$2:$B$1000,A18))</f>
        <v/>
      </c>
      <c r="E18" s="22">
        <f>IF(A18="",0,SUMIFS(Activities!$J$2:$J$1000,Activities!$B$2:$B$1000,A18))</f>
        <v/>
      </c>
    </row>
    <row r="19">
      <c r="A19" s="19">
        <f>Settings!$A$14</f>
        <v/>
      </c>
      <c r="B19" s="20">
        <f>IF(A19="",0,COUNTIFS(Activities!$B$2:$B$1000,A19))</f>
        <v/>
      </c>
      <c r="C19" s="20">
        <f>IF(A19="",0,SUMIFS(Activities!$C$2:$C$1000,Activities!$B$2:$B$1000,A19))</f>
        <v/>
      </c>
      <c r="D19" s="21">
        <f>IF(A19="",0,SUMIFS(Activities!$D$2:$D$1000,Activities!$B$2:$B$1000,A19))</f>
        <v/>
      </c>
      <c r="E19" s="22">
        <f>IF(A19="",0,SUMIFS(Activities!$J$2:$J$1000,Activities!$B$2:$B$1000,A19))</f>
        <v/>
      </c>
    </row>
    <row r="20">
      <c r="A20" s="19">
        <f>Settings!$A$15</f>
        <v/>
      </c>
      <c r="B20" s="20">
        <f>IF(A20="",0,COUNTIFS(Activities!$B$2:$B$1000,A20))</f>
        <v/>
      </c>
      <c r="C20" s="20">
        <f>IF(A20="",0,SUMIFS(Activities!$C$2:$C$1000,Activities!$B$2:$B$1000,A20))</f>
        <v/>
      </c>
      <c r="D20" s="21">
        <f>IF(A20="",0,SUMIFS(Activities!$D$2:$D$1000,Activities!$B$2:$B$1000,A20))</f>
        <v/>
      </c>
      <c r="E20" s="22">
        <f>IF(A20="",0,SUMIFS(Activities!$J$2:$J$1000,Activities!$B$2:$B$1000,A20))</f>
        <v/>
      </c>
    </row>
    <row r="21">
      <c r="A21" s="19">
        <f>Settings!$A$16</f>
        <v/>
      </c>
      <c r="B21" s="20">
        <f>IF(A21="",0,COUNTIFS(Activities!$B$2:$B$1000,A21))</f>
        <v/>
      </c>
      <c r="C21" s="20">
        <f>IF(A21="",0,SUMIFS(Activities!$C$2:$C$1000,Activities!$B$2:$B$1000,A21))</f>
        <v/>
      </c>
      <c r="D21" s="21">
        <f>IF(A21="",0,SUMIFS(Activities!$D$2:$D$1000,Activities!$B$2:$B$1000,A21))</f>
        <v/>
      </c>
      <c r="E21" s="22">
        <f>IF(A21="",0,SUMIFS(Activities!$J$2:$J$1000,Activities!$B$2:$B$1000,A21))</f>
        <v/>
      </c>
    </row>
    <row r="22">
      <c r="A22" s="19">
        <f>Settings!$A$17</f>
        <v/>
      </c>
      <c r="B22" s="20">
        <f>IF(A22="",0,COUNTIFS(Activities!$B$2:$B$1000,A22))</f>
        <v/>
      </c>
      <c r="C22" s="20">
        <f>IF(A22="",0,SUMIFS(Activities!$C$2:$C$1000,Activities!$B$2:$B$1000,A22))</f>
        <v/>
      </c>
      <c r="D22" s="21">
        <f>IF(A22="",0,SUMIFS(Activities!$D$2:$D$1000,Activities!$B$2:$B$1000,A22))</f>
        <v/>
      </c>
      <c r="E22" s="22">
        <f>IF(A22="",0,SUMIFS(Activities!$J$2:$J$1000,Activities!$B$2:$B$1000,A22))</f>
        <v/>
      </c>
    </row>
    <row r="23">
      <c r="A23" s="19">
        <f>Settings!$A$18</f>
        <v/>
      </c>
      <c r="B23" s="20">
        <f>IF(A23="",0,COUNTIFS(Activities!$B$2:$B$1000,A23))</f>
        <v/>
      </c>
      <c r="C23" s="20">
        <f>IF(A23="",0,SUMIFS(Activities!$C$2:$C$1000,Activities!$B$2:$B$1000,A23))</f>
        <v/>
      </c>
      <c r="D23" s="21">
        <f>IF(A23="",0,SUMIFS(Activities!$D$2:$D$1000,Activities!$B$2:$B$1000,A23))</f>
        <v/>
      </c>
      <c r="E23" s="22">
        <f>IF(A23="",0,SUMIFS(Activities!$J$2:$J$1000,Activities!$B$2:$B$1000,A23))</f>
        <v/>
      </c>
    </row>
    <row r="24">
      <c r="A24" s="19">
        <f>Settings!$A$19</f>
        <v/>
      </c>
      <c r="B24" s="20">
        <f>IF(A24="",0,COUNTIFS(Activities!$B$2:$B$1000,A24))</f>
        <v/>
      </c>
      <c r="C24" s="20">
        <f>IF(A24="",0,SUMIFS(Activities!$C$2:$C$1000,Activities!$B$2:$B$1000,A24))</f>
        <v/>
      </c>
      <c r="D24" s="21">
        <f>IF(A24="",0,SUMIFS(Activities!$D$2:$D$1000,Activities!$B$2:$B$1000,A24))</f>
        <v/>
      </c>
      <c r="E24" s="22">
        <f>IF(A24="",0,SUMIFS(Activities!$J$2:$J$1000,Activities!$B$2:$B$1000,A24))</f>
        <v/>
      </c>
    </row>
    <row r="25">
      <c r="A25" s="19">
        <f>Settings!$A$20</f>
        <v/>
      </c>
      <c r="B25" s="20">
        <f>IF(A25="",0,COUNTIFS(Activities!$B$2:$B$1000,A25))</f>
        <v/>
      </c>
      <c r="C25" s="20">
        <f>IF(A25="",0,SUMIFS(Activities!$C$2:$C$1000,Activities!$B$2:$B$1000,A25))</f>
        <v/>
      </c>
      <c r="D25" s="21">
        <f>IF(A25="",0,SUMIFS(Activities!$D$2:$D$1000,Activities!$B$2:$B$1000,A25))</f>
        <v/>
      </c>
      <c r="E25" s="22">
        <f>IF(A25="",0,SUMIFS(Activities!$J$2:$J$1000,Activities!$B$2:$B$1000,A25))</f>
        <v/>
      </c>
    </row>
    <row r="26">
      <c r="A26" s="19">
        <f>Settings!$A$21</f>
        <v/>
      </c>
      <c r="B26" s="20">
        <f>IF(A26="",0,COUNTIFS(Activities!$B$2:$B$1000,A26))</f>
        <v/>
      </c>
      <c r="C26" s="20">
        <f>IF(A26="",0,SUMIFS(Activities!$C$2:$C$1000,Activities!$B$2:$B$1000,A26))</f>
        <v/>
      </c>
      <c r="D26" s="21">
        <f>IF(A26="",0,SUMIFS(Activities!$D$2:$D$1000,Activities!$B$2:$B$1000,A26))</f>
        <v/>
      </c>
      <c r="E26" s="22">
        <f>IF(A26="",0,SUMIFS(Activities!$J$2:$J$1000,Activities!$B$2:$B$1000,A26))</f>
        <v/>
      </c>
    </row>
    <row r="27">
      <c r="A27" s="23" t="inlineStr">
        <is>
          <t>Total</t>
        </is>
      </c>
      <c r="B27" s="24">
        <f>SUM(B15:B26)</f>
        <v/>
      </c>
      <c r="C27" s="24">
        <f>SUM(C15:C26)</f>
        <v/>
      </c>
      <c r="D27" s="25">
        <f>SUM(D15:D26)</f>
        <v/>
      </c>
      <c r="E27" s="26">
        <f>SUM(E15:E26)</f>
        <v/>
      </c>
    </row>
  </sheetData>
  <conditionalFormatting sqref="E7">
    <cfRule type="cellIs" priority="1" operator="greaterThanOrEqual" dxfId="0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0" customWidth="1" min="3" max="3"/>
  </cols>
  <sheetData>
    <row r="1">
      <c r="A1" s="27" t="inlineStr">
        <is>
          <t>Settings</t>
        </is>
      </c>
    </row>
    <row r="3">
      <c r="A3" s="28" t="inlineStr">
        <is>
          <t>Height (m)</t>
        </is>
      </c>
      <c r="B3" s="29" t="n">
        <v>1.75</v>
      </c>
      <c r="C3" s="6" t="inlineStr">
        <is>
          <t>Your height in metres - used for BMI. Example value: replace it.</t>
        </is>
      </c>
    </row>
    <row r="4">
      <c r="A4" s="28" t="inlineStr">
        <is>
          <t>Target weight (kg)</t>
        </is>
      </c>
      <c r="B4" s="30" t="n">
        <v>72</v>
      </c>
      <c r="C4" s="6" t="inlineStr">
        <is>
          <t>Your goal weight.</t>
        </is>
      </c>
    </row>
    <row r="5">
      <c r="A5" s="28" t="inlineStr">
        <is>
          <t>Weekly activity goal (min)</t>
        </is>
      </c>
      <c r="B5" s="31" t="n">
        <v>150</v>
      </c>
      <c r="C5" s="6" t="inlineStr">
        <is>
          <t>WHO recommends at least 150 min of moderate activity per week.</t>
        </is>
      </c>
    </row>
    <row r="6">
      <c r="A6" s="28" t="inlineStr">
        <is>
          <t>Default weight (kg)</t>
        </is>
      </c>
      <c r="B6" s="30" t="n">
        <v>75</v>
      </c>
      <c r="C6" s="6" t="inlineStr">
        <is>
          <t>Used for calories only until you record a first weight.</t>
        </is>
      </c>
    </row>
    <row r="9" ht="30" customHeight="1">
      <c r="A9" s="32" t="inlineStr">
        <is>
          <t>Activity</t>
        </is>
      </c>
      <c r="B9" s="32" t="inlineStr">
        <is>
          <t>MET</t>
        </is>
      </c>
      <c r="C9" s="32" t="inlineStr">
        <is>
          <t>Source / note</t>
        </is>
      </c>
    </row>
    <row r="10">
      <c r="A10" s="33" t="inlineStr">
        <is>
          <t>Walking</t>
        </is>
      </c>
      <c r="B10" s="30" t="n">
        <v>3.5</v>
      </c>
      <c r="C10" s="34" t="inlineStr">
        <is>
          <t>MET values: Compendium of Physical Activities (Ainsworth et al., 2011). You can rename activities or change MET values.</t>
        </is>
      </c>
    </row>
    <row r="11">
      <c r="A11" s="33" t="inlineStr">
        <is>
          <t>Brisk walking</t>
        </is>
      </c>
      <c r="B11" s="30" t="n">
        <v>4.3</v>
      </c>
    </row>
    <row r="12">
      <c r="A12" s="33" t="inlineStr">
        <is>
          <t>Running</t>
        </is>
      </c>
      <c r="B12" s="30" t="n">
        <v>9.800000000000001</v>
      </c>
    </row>
    <row r="13">
      <c r="A13" s="33" t="inlineStr">
        <is>
          <t>Cycling</t>
        </is>
      </c>
      <c r="B13" s="30" t="n">
        <v>7.5</v>
      </c>
    </row>
    <row r="14">
      <c r="A14" s="33" t="inlineStr">
        <is>
          <t>Swimming</t>
        </is>
      </c>
      <c r="B14" s="30" t="n">
        <v>6</v>
      </c>
    </row>
    <row r="15">
      <c r="A15" s="33" t="inlineStr">
        <is>
          <t>Hiking</t>
        </is>
      </c>
      <c r="B15" s="30" t="n">
        <v>6</v>
      </c>
    </row>
    <row r="16">
      <c r="A16" s="33" t="inlineStr">
        <is>
          <t>Strength training</t>
        </is>
      </c>
      <c r="B16" s="30" t="n">
        <v>5</v>
      </c>
    </row>
    <row r="17">
      <c r="A17" s="33" t="inlineStr">
        <is>
          <t>Yoga</t>
        </is>
      </c>
      <c r="B17" s="30" t="n">
        <v>2.5</v>
      </c>
    </row>
    <row r="18">
      <c r="A18" s="33" t="inlineStr">
        <is>
          <t>Football</t>
        </is>
      </c>
      <c r="B18" s="30" t="n">
        <v>7</v>
      </c>
    </row>
    <row r="19">
      <c r="A19" s="33" t="inlineStr">
        <is>
          <t>Tennis</t>
        </is>
      </c>
      <c r="B19" s="30" t="n">
        <v>7.3</v>
      </c>
    </row>
    <row r="20">
      <c r="A20" s="33" t="inlineStr">
        <is>
          <t>Dancing</t>
        </is>
      </c>
      <c r="B20" s="30" t="n">
        <v>5</v>
      </c>
    </row>
    <row r="21">
      <c r="A21" s="33" t="inlineStr">
        <is>
          <t>Other</t>
        </is>
      </c>
      <c r="B21" s="30" t="n">
        <v>4</v>
      </c>
    </row>
  </sheetData>
  <mergeCells count="1">
    <mergeCell ref="C10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9" customWidth="1" min="4" max="4"/>
    <col width="16" customWidth="1" min="5" max="5"/>
    <col width="14" customWidth="1" min="6" max="6"/>
  </cols>
  <sheetData>
    <row r="1" ht="30" customHeight="1">
      <c r="A1" s="32" t="inlineStr">
        <is>
          <t>Date</t>
        </is>
      </c>
      <c r="B1" s="32" t="inlineStr">
        <is>
          <t>Weight (kg)</t>
        </is>
      </c>
      <c r="C1" s="32" t="inlineStr">
        <is>
          <t>Change vs previous (kg)</t>
        </is>
      </c>
      <c r="D1" s="32" t="inlineStr">
        <is>
          <t>BMI</t>
        </is>
      </c>
      <c r="E1" s="32" t="inlineStr">
        <is>
          <t>Moving average (7 entries)</t>
        </is>
      </c>
      <c r="F1" s="32" t="inlineStr">
        <is>
          <t>To target (kg)</t>
        </is>
      </c>
    </row>
    <row r="2">
      <c r="A2" s="35" t="n">
        <v>46296</v>
      </c>
      <c r="B2" s="30" t="n">
        <v>75</v>
      </c>
      <c r="C2" s="36">
        <f>""</f>
        <v/>
      </c>
      <c r="D2" s="21">
        <f>IF(B2="","",B2/Settings!$B$3^2)</f>
        <v/>
      </c>
      <c r="E2" s="21">
        <f>IF(B2="","",AVERAGE(B2:B2))</f>
        <v/>
      </c>
      <c r="F2" s="36">
        <f>IF(B2="","",B2-Settings!$B$4)</f>
        <v/>
      </c>
    </row>
    <row r="3">
      <c r="A3" s="35" t="n"/>
      <c r="B3" s="30" t="n"/>
      <c r="C3" s="36">
        <f>IF(OR(B3="",B2=""),"",B3-B2)</f>
        <v/>
      </c>
      <c r="D3" s="21">
        <f>IF(B3="","",B3/Settings!$B$3^2)</f>
        <v/>
      </c>
      <c r="E3" s="21">
        <f>IF(B3="","",AVERAGE(B2:B3))</f>
        <v/>
      </c>
      <c r="F3" s="36">
        <f>IF(B3="","",B3-Settings!$B$4)</f>
        <v/>
      </c>
    </row>
    <row r="4">
      <c r="A4" s="35" t="n"/>
      <c r="B4" s="30" t="n"/>
      <c r="C4" s="36">
        <f>IF(OR(B4="",B3=""),"",B4-B3)</f>
        <v/>
      </c>
      <c r="D4" s="21">
        <f>IF(B4="","",B4/Settings!$B$3^2)</f>
        <v/>
      </c>
      <c r="E4" s="21">
        <f>IF(B4="","",AVERAGE(B2:B4))</f>
        <v/>
      </c>
      <c r="F4" s="36">
        <f>IF(B4="","",B4-Settings!$B$4)</f>
        <v/>
      </c>
    </row>
    <row r="5">
      <c r="A5" s="35" t="n"/>
      <c r="B5" s="30" t="n"/>
      <c r="C5" s="36">
        <f>IF(OR(B5="",B4=""),"",B5-B4)</f>
        <v/>
      </c>
      <c r="D5" s="21">
        <f>IF(B5="","",B5/Settings!$B$3^2)</f>
        <v/>
      </c>
      <c r="E5" s="21">
        <f>IF(B5="","",AVERAGE(B2:B5))</f>
        <v/>
      </c>
      <c r="F5" s="36">
        <f>IF(B5="","",B5-Settings!$B$4)</f>
        <v/>
      </c>
    </row>
    <row r="6">
      <c r="A6" s="35" t="n"/>
      <c r="B6" s="30" t="n"/>
      <c r="C6" s="36">
        <f>IF(OR(B6="",B5=""),"",B6-B5)</f>
        <v/>
      </c>
      <c r="D6" s="21">
        <f>IF(B6="","",B6/Settings!$B$3^2)</f>
        <v/>
      </c>
      <c r="E6" s="21">
        <f>IF(B6="","",AVERAGE(B2:B6))</f>
        <v/>
      </c>
      <c r="F6" s="36">
        <f>IF(B6="","",B6-Settings!$B$4)</f>
        <v/>
      </c>
    </row>
    <row r="7">
      <c r="A7" s="35" t="n"/>
      <c r="B7" s="30" t="n"/>
      <c r="C7" s="36">
        <f>IF(OR(B7="",B6=""),"",B7-B6)</f>
        <v/>
      </c>
      <c r="D7" s="21">
        <f>IF(B7="","",B7/Settings!$B$3^2)</f>
        <v/>
      </c>
      <c r="E7" s="21">
        <f>IF(B7="","",AVERAGE(B2:B7))</f>
        <v/>
      </c>
      <c r="F7" s="36">
        <f>IF(B7="","",B7-Settings!$B$4)</f>
        <v/>
      </c>
    </row>
    <row r="8">
      <c r="A8" s="35" t="n"/>
      <c r="B8" s="30" t="n"/>
      <c r="C8" s="36">
        <f>IF(OR(B8="",B7=""),"",B8-B7)</f>
        <v/>
      </c>
      <c r="D8" s="21">
        <f>IF(B8="","",B8/Settings!$B$3^2)</f>
        <v/>
      </c>
      <c r="E8" s="21">
        <f>IF(B8="","",AVERAGE(B2:B8))</f>
        <v/>
      </c>
      <c r="F8" s="36">
        <f>IF(B8="","",B8-Settings!$B$4)</f>
        <v/>
      </c>
    </row>
    <row r="9">
      <c r="A9" s="35" t="n"/>
      <c r="B9" s="30" t="n"/>
      <c r="C9" s="36">
        <f>IF(OR(B9="",B8=""),"",B9-B8)</f>
        <v/>
      </c>
      <c r="D9" s="21">
        <f>IF(B9="","",B9/Settings!$B$3^2)</f>
        <v/>
      </c>
      <c r="E9" s="21">
        <f>IF(B9="","",AVERAGE(B3:B9))</f>
        <v/>
      </c>
      <c r="F9" s="36">
        <f>IF(B9="","",B9-Settings!$B$4)</f>
        <v/>
      </c>
    </row>
    <row r="10">
      <c r="A10" s="35" t="n"/>
      <c r="B10" s="30" t="n"/>
      <c r="C10" s="36">
        <f>IF(OR(B10="",B9=""),"",B10-B9)</f>
        <v/>
      </c>
      <c r="D10" s="21">
        <f>IF(B10="","",B10/Settings!$B$3^2)</f>
        <v/>
      </c>
      <c r="E10" s="21">
        <f>IF(B10="","",AVERAGE(B4:B10))</f>
        <v/>
      </c>
      <c r="F10" s="36">
        <f>IF(B10="","",B10-Settings!$B$4)</f>
        <v/>
      </c>
    </row>
    <row r="11">
      <c r="A11" s="35" t="n"/>
      <c r="B11" s="30" t="n"/>
      <c r="C11" s="36">
        <f>IF(OR(B11="",B10=""),"",B11-B10)</f>
        <v/>
      </c>
      <c r="D11" s="21">
        <f>IF(B11="","",B11/Settings!$B$3^2)</f>
        <v/>
      </c>
      <c r="E11" s="21">
        <f>IF(B11="","",AVERAGE(B5:B11))</f>
        <v/>
      </c>
      <c r="F11" s="36">
        <f>IF(B11="","",B11-Settings!$B$4)</f>
        <v/>
      </c>
    </row>
    <row r="12">
      <c r="A12" s="35" t="n"/>
      <c r="B12" s="30" t="n"/>
      <c r="C12" s="36">
        <f>IF(OR(B12="",B11=""),"",B12-B11)</f>
        <v/>
      </c>
      <c r="D12" s="21">
        <f>IF(B12="","",B12/Settings!$B$3^2)</f>
        <v/>
      </c>
      <c r="E12" s="21">
        <f>IF(B12="","",AVERAGE(B6:B12))</f>
        <v/>
      </c>
      <c r="F12" s="36">
        <f>IF(B12="","",B12-Settings!$B$4)</f>
        <v/>
      </c>
    </row>
    <row r="13">
      <c r="A13" s="35" t="n"/>
      <c r="B13" s="30" t="n"/>
      <c r="C13" s="36">
        <f>IF(OR(B13="",B12=""),"",B13-B12)</f>
        <v/>
      </c>
      <c r="D13" s="21">
        <f>IF(B13="","",B13/Settings!$B$3^2)</f>
        <v/>
      </c>
      <c r="E13" s="21">
        <f>IF(B13="","",AVERAGE(B7:B13))</f>
        <v/>
      </c>
      <c r="F13" s="36">
        <f>IF(B13="","",B13-Settings!$B$4)</f>
        <v/>
      </c>
    </row>
    <row r="14">
      <c r="A14" s="35" t="n"/>
      <c r="B14" s="30" t="n"/>
      <c r="C14" s="36">
        <f>IF(OR(B14="",B13=""),"",B14-B13)</f>
        <v/>
      </c>
      <c r="D14" s="21">
        <f>IF(B14="","",B14/Settings!$B$3^2)</f>
        <v/>
      </c>
      <c r="E14" s="21">
        <f>IF(B14="","",AVERAGE(B8:B14))</f>
        <v/>
      </c>
      <c r="F14" s="36">
        <f>IF(B14="","",B14-Settings!$B$4)</f>
        <v/>
      </c>
    </row>
    <row r="15">
      <c r="A15" s="35" t="n"/>
      <c r="B15" s="30" t="n"/>
      <c r="C15" s="36">
        <f>IF(OR(B15="",B14=""),"",B15-B14)</f>
        <v/>
      </c>
      <c r="D15" s="21">
        <f>IF(B15="","",B15/Settings!$B$3^2)</f>
        <v/>
      </c>
      <c r="E15" s="21">
        <f>IF(B15="","",AVERAGE(B9:B15))</f>
        <v/>
      </c>
      <c r="F15" s="36">
        <f>IF(B15="","",B15-Settings!$B$4)</f>
        <v/>
      </c>
    </row>
    <row r="16">
      <c r="A16" s="35" t="n"/>
      <c r="B16" s="30" t="n"/>
      <c r="C16" s="36">
        <f>IF(OR(B16="",B15=""),"",B16-B15)</f>
        <v/>
      </c>
      <c r="D16" s="21">
        <f>IF(B16="","",B16/Settings!$B$3^2)</f>
        <v/>
      </c>
      <c r="E16" s="21">
        <f>IF(B16="","",AVERAGE(B10:B16))</f>
        <v/>
      </c>
      <c r="F16" s="36">
        <f>IF(B16="","",B16-Settings!$B$4)</f>
        <v/>
      </c>
    </row>
    <row r="17">
      <c r="A17" s="35" t="n"/>
      <c r="B17" s="30" t="n"/>
      <c r="C17" s="36">
        <f>IF(OR(B17="",B16=""),"",B17-B16)</f>
        <v/>
      </c>
      <c r="D17" s="21">
        <f>IF(B17="","",B17/Settings!$B$3^2)</f>
        <v/>
      </c>
      <c r="E17" s="21">
        <f>IF(B17="","",AVERAGE(B11:B17))</f>
        <v/>
      </c>
      <c r="F17" s="36">
        <f>IF(B17="","",B17-Settings!$B$4)</f>
        <v/>
      </c>
    </row>
    <row r="18">
      <c r="A18" s="35" t="n"/>
      <c r="B18" s="30" t="n"/>
      <c r="C18" s="36">
        <f>IF(OR(B18="",B17=""),"",B18-B17)</f>
        <v/>
      </c>
      <c r="D18" s="21">
        <f>IF(B18="","",B18/Settings!$B$3^2)</f>
        <v/>
      </c>
      <c r="E18" s="21">
        <f>IF(B18="","",AVERAGE(B12:B18))</f>
        <v/>
      </c>
      <c r="F18" s="36">
        <f>IF(B18="","",B18-Settings!$B$4)</f>
        <v/>
      </c>
    </row>
    <row r="19">
      <c r="A19" s="35" t="n"/>
      <c r="B19" s="30" t="n"/>
      <c r="C19" s="36">
        <f>IF(OR(B19="",B18=""),"",B19-B18)</f>
        <v/>
      </c>
      <c r="D19" s="21">
        <f>IF(B19="","",B19/Settings!$B$3^2)</f>
        <v/>
      </c>
      <c r="E19" s="21">
        <f>IF(B19="","",AVERAGE(B13:B19))</f>
        <v/>
      </c>
      <c r="F19" s="36">
        <f>IF(B19="","",B19-Settings!$B$4)</f>
        <v/>
      </c>
    </row>
    <row r="20">
      <c r="A20" s="35" t="n"/>
      <c r="B20" s="30" t="n"/>
      <c r="C20" s="36">
        <f>IF(OR(B20="",B19=""),"",B20-B19)</f>
        <v/>
      </c>
      <c r="D20" s="21">
        <f>IF(B20="","",B20/Settings!$B$3^2)</f>
        <v/>
      </c>
      <c r="E20" s="21">
        <f>IF(B20="","",AVERAGE(B14:B20))</f>
        <v/>
      </c>
      <c r="F20" s="36">
        <f>IF(B20="","",B20-Settings!$B$4)</f>
        <v/>
      </c>
    </row>
    <row r="21">
      <c r="A21" s="35" t="n"/>
      <c r="B21" s="30" t="n"/>
      <c r="C21" s="36">
        <f>IF(OR(B21="",B20=""),"",B21-B20)</f>
        <v/>
      </c>
      <c r="D21" s="21">
        <f>IF(B21="","",B21/Settings!$B$3^2)</f>
        <v/>
      </c>
      <c r="E21" s="21">
        <f>IF(B21="","",AVERAGE(B15:B21))</f>
        <v/>
      </c>
      <c r="F21" s="36">
        <f>IF(B21="","",B21-Settings!$B$4)</f>
        <v/>
      </c>
    </row>
    <row r="22">
      <c r="A22" s="35" t="n"/>
      <c r="B22" s="30" t="n"/>
      <c r="C22" s="36">
        <f>IF(OR(B22="",B21=""),"",B22-B21)</f>
        <v/>
      </c>
      <c r="D22" s="21">
        <f>IF(B22="","",B22/Settings!$B$3^2)</f>
        <v/>
      </c>
      <c r="E22" s="21">
        <f>IF(B22="","",AVERAGE(B16:B22))</f>
        <v/>
      </c>
      <c r="F22" s="36">
        <f>IF(B22="","",B22-Settings!$B$4)</f>
        <v/>
      </c>
    </row>
    <row r="23">
      <c r="A23" s="35" t="n"/>
      <c r="B23" s="30" t="n"/>
      <c r="C23" s="36">
        <f>IF(OR(B23="",B22=""),"",B23-B22)</f>
        <v/>
      </c>
      <c r="D23" s="21">
        <f>IF(B23="","",B23/Settings!$B$3^2)</f>
        <v/>
      </c>
      <c r="E23" s="21">
        <f>IF(B23="","",AVERAGE(B17:B23))</f>
        <v/>
      </c>
      <c r="F23" s="36">
        <f>IF(B23="","",B23-Settings!$B$4)</f>
        <v/>
      </c>
    </row>
    <row r="24">
      <c r="A24" s="35" t="n"/>
      <c r="B24" s="30" t="n"/>
      <c r="C24" s="36">
        <f>IF(OR(B24="",B23=""),"",B24-B23)</f>
        <v/>
      </c>
      <c r="D24" s="21">
        <f>IF(B24="","",B24/Settings!$B$3^2)</f>
        <v/>
      </c>
      <c r="E24" s="21">
        <f>IF(B24="","",AVERAGE(B18:B24))</f>
        <v/>
      </c>
      <c r="F24" s="36">
        <f>IF(B24="","",B24-Settings!$B$4)</f>
        <v/>
      </c>
    </row>
    <row r="25">
      <c r="A25" s="35" t="n"/>
      <c r="B25" s="30" t="n"/>
      <c r="C25" s="36">
        <f>IF(OR(B25="",B24=""),"",B25-B24)</f>
        <v/>
      </c>
      <c r="D25" s="21">
        <f>IF(B25="","",B25/Settings!$B$3^2)</f>
        <v/>
      </c>
      <c r="E25" s="21">
        <f>IF(B25="","",AVERAGE(B19:B25))</f>
        <v/>
      </c>
      <c r="F25" s="36">
        <f>IF(B25="","",B25-Settings!$B$4)</f>
        <v/>
      </c>
    </row>
    <row r="26">
      <c r="A26" s="35" t="n"/>
      <c r="B26" s="30" t="n"/>
      <c r="C26" s="36">
        <f>IF(OR(B26="",B25=""),"",B26-B25)</f>
        <v/>
      </c>
      <c r="D26" s="21">
        <f>IF(B26="","",B26/Settings!$B$3^2)</f>
        <v/>
      </c>
      <c r="E26" s="21">
        <f>IF(B26="","",AVERAGE(B20:B26))</f>
        <v/>
      </c>
      <c r="F26" s="36">
        <f>IF(B26="","",B26-Settings!$B$4)</f>
        <v/>
      </c>
    </row>
    <row r="27">
      <c r="A27" s="35" t="n"/>
      <c r="B27" s="30" t="n"/>
      <c r="C27" s="36">
        <f>IF(OR(B27="",B26=""),"",B27-B26)</f>
        <v/>
      </c>
      <c r="D27" s="21">
        <f>IF(B27="","",B27/Settings!$B$3^2)</f>
        <v/>
      </c>
      <c r="E27" s="21">
        <f>IF(B27="","",AVERAGE(B21:B27))</f>
        <v/>
      </c>
      <c r="F27" s="36">
        <f>IF(B27="","",B27-Settings!$B$4)</f>
        <v/>
      </c>
    </row>
    <row r="28">
      <c r="A28" s="35" t="n"/>
      <c r="B28" s="30" t="n"/>
      <c r="C28" s="36">
        <f>IF(OR(B28="",B27=""),"",B28-B27)</f>
        <v/>
      </c>
      <c r="D28" s="21">
        <f>IF(B28="","",B28/Settings!$B$3^2)</f>
        <v/>
      </c>
      <c r="E28" s="21">
        <f>IF(B28="","",AVERAGE(B22:B28))</f>
        <v/>
      </c>
      <c r="F28" s="36">
        <f>IF(B28="","",B28-Settings!$B$4)</f>
        <v/>
      </c>
    </row>
    <row r="29">
      <c r="A29" s="35" t="n"/>
      <c r="B29" s="30" t="n"/>
      <c r="C29" s="36">
        <f>IF(OR(B29="",B28=""),"",B29-B28)</f>
        <v/>
      </c>
      <c r="D29" s="21">
        <f>IF(B29="","",B29/Settings!$B$3^2)</f>
        <v/>
      </c>
      <c r="E29" s="21">
        <f>IF(B29="","",AVERAGE(B23:B29))</f>
        <v/>
      </c>
      <c r="F29" s="36">
        <f>IF(B29="","",B29-Settings!$B$4)</f>
        <v/>
      </c>
    </row>
    <row r="30">
      <c r="A30" s="35" t="n"/>
      <c r="B30" s="30" t="n"/>
      <c r="C30" s="36">
        <f>IF(OR(B30="",B29=""),"",B30-B29)</f>
        <v/>
      </c>
      <c r="D30" s="21">
        <f>IF(B30="","",B30/Settings!$B$3^2)</f>
        <v/>
      </c>
      <c r="E30" s="21">
        <f>IF(B30="","",AVERAGE(B24:B30))</f>
        <v/>
      </c>
      <c r="F30" s="36">
        <f>IF(B30="","",B30-Settings!$B$4)</f>
        <v/>
      </c>
    </row>
    <row r="31">
      <c r="A31" s="35" t="n"/>
      <c r="B31" s="30" t="n"/>
      <c r="C31" s="36">
        <f>IF(OR(B31="",B30=""),"",B31-B30)</f>
        <v/>
      </c>
      <c r="D31" s="21">
        <f>IF(B31="","",B31/Settings!$B$3^2)</f>
        <v/>
      </c>
      <c r="E31" s="21">
        <f>IF(B31="","",AVERAGE(B25:B31))</f>
        <v/>
      </c>
      <c r="F31" s="36">
        <f>IF(B31="","",B31-Settings!$B$4)</f>
        <v/>
      </c>
    </row>
    <row r="32">
      <c r="A32" s="35" t="n"/>
      <c r="B32" s="30" t="n"/>
      <c r="C32" s="36">
        <f>IF(OR(B32="",B31=""),"",B32-B31)</f>
        <v/>
      </c>
      <c r="D32" s="21">
        <f>IF(B32="","",B32/Settings!$B$3^2)</f>
        <v/>
      </c>
      <c r="E32" s="21">
        <f>IF(B32="","",AVERAGE(B26:B32))</f>
        <v/>
      </c>
      <c r="F32" s="36">
        <f>IF(B32="","",B32-Settings!$B$4)</f>
        <v/>
      </c>
    </row>
    <row r="33">
      <c r="A33" s="35" t="n"/>
      <c r="B33" s="30" t="n"/>
      <c r="C33" s="36">
        <f>IF(OR(B33="",B32=""),"",B33-B32)</f>
        <v/>
      </c>
      <c r="D33" s="21">
        <f>IF(B33="","",B33/Settings!$B$3^2)</f>
        <v/>
      </c>
      <c r="E33" s="21">
        <f>IF(B33="","",AVERAGE(B27:B33))</f>
        <v/>
      </c>
      <c r="F33" s="36">
        <f>IF(B33="","",B33-Settings!$B$4)</f>
        <v/>
      </c>
    </row>
    <row r="34">
      <c r="A34" s="35" t="n"/>
      <c r="B34" s="30" t="n"/>
      <c r="C34" s="36">
        <f>IF(OR(B34="",B33=""),"",B34-B33)</f>
        <v/>
      </c>
      <c r="D34" s="21">
        <f>IF(B34="","",B34/Settings!$B$3^2)</f>
        <v/>
      </c>
      <c r="E34" s="21">
        <f>IF(B34="","",AVERAGE(B28:B34))</f>
        <v/>
      </c>
      <c r="F34" s="36">
        <f>IF(B34="","",B34-Settings!$B$4)</f>
        <v/>
      </c>
    </row>
    <row r="35">
      <c r="A35" s="35" t="n"/>
      <c r="B35" s="30" t="n"/>
      <c r="C35" s="36">
        <f>IF(OR(B35="",B34=""),"",B35-B34)</f>
        <v/>
      </c>
      <c r="D35" s="21">
        <f>IF(B35="","",B35/Settings!$B$3^2)</f>
        <v/>
      </c>
      <c r="E35" s="21">
        <f>IF(B35="","",AVERAGE(B29:B35))</f>
        <v/>
      </c>
      <c r="F35" s="36">
        <f>IF(B35="","",B35-Settings!$B$4)</f>
        <v/>
      </c>
    </row>
    <row r="36">
      <c r="A36" s="35" t="n"/>
      <c r="B36" s="30" t="n"/>
      <c r="C36" s="36">
        <f>IF(OR(B36="",B35=""),"",B36-B35)</f>
        <v/>
      </c>
      <c r="D36" s="21">
        <f>IF(B36="","",B36/Settings!$B$3^2)</f>
        <v/>
      </c>
      <c r="E36" s="21">
        <f>IF(B36="","",AVERAGE(B30:B36))</f>
        <v/>
      </c>
      <c r="F36" s="36">
        <f>IF(B36="","",B36-Settings!$B$4)</f>
        <v/>
      </c>
    </row>
    <row r="37">
      <c r="A37" s="35" t="n"/>
      <c r="B37" s="30" t="n"/>
      <c r="C37" s="36">
        <f>IF(OR(B37="",B36=""),"",B37-B36)</f>
        <v/>
      </c>
      <c r="D37" s="21">
        <f>IF(B37="","",B37/Settings!$B$3^2)</f>
        <v/>
      </c>
      <c r="E37" s="21">
        <f>IF(B37="","",AVERAGE(B31:B37))</f>
        <v/>
      </c>
      <c r="F37" s="36">
        <f>IF(B37="","",B37-Settings!$B$4)</f>
        <v/>
      </c>
    </row>
    <row r="38">
      <c r="A38" s="35" t="n"/>
      <c r="B38" s="30" t="n"/>
      <c r="C38" s="36">
        <f>IF(OR(B38="",B37=""),"",B38-B37)</f>
        <v/>
      </c>
      <c r="D38" s="21">
        <f>IF(B38="","",B38/Settings!$B$3^2)</f>
        <v/>
      </c>
      <c r="E38" s="21">
        <f>IF(B38="","",AVERAGE(B32:B38))</f>
        <v/>
      </c>
      <c r="F38" s="36">
        <f>IF(B38="","",B38-Settings!$B$4)</f>
        <v/>
      </c>
    </row>
    <row r="39">
      <c r="A39" s="35" t="n"/>
      <c r="B39" s="30" t="n"/>
      <c r="C39" s="36">
        <f>IF(OR(B39="",B38=""),"",B39-B38)</f>
        <v/>
      </c>
      <c r="D39" s="21">
        <f>IF(B39="","",B39/Settings!$B$3^2)</f>
        <v/>
      </c>
      <c r="E39" s="21">
        <f>IF(B39="","",AVERAGE(B33:B39))</f>
        <v/>
      </c>
      <c r="F39" s="36">
        <f>IF(B39="","",B39-Settings!$B$4)</f>
        <v/>
      </c>
    </row>
    <row r="40">
      <c r="A40" s="35" t="n"/>
      <c r="B40" s="30" t="n"/>
      <c r="C40" s="36">
        <f>IF(OR(B40="",B39=""),"",B40-B39)</f>
        <v/>
      </c>
      <c r="D40" s="21">
        <f>IF(B40="","",B40/Settings!$B$3^2)</f>
        <v/>
      </c>
      <c r="E40" s="21">
        <f>IF(B40="","",AVERAGE(B34:B40))</f>
        <v/>
      </c>
      <c r="F40" s="36">
        <f>IF(B40="","",B40-Settings!$B$4)</f>
        <v/>
      </c>
    </row>
    <row r="41">
      <c r="A41" s="35" t="n"/>
      <c r="B41" s="30" t="n"/>
      <c r="C41" s="36">
        <f>IF(OR(B41="",B40=""),"",B41-B40)</f>
        <v/>
      </c>
      <c r="D41" s="21">
        <f>IF(B41="","",B41/Settings!$B$3^2)</f>
        <v/>
      </c>
      <c r="E41" s="21">
        <f>IF(B41="","",AVERAGE(B35:B41))</f>
        <v/>
      </c>
      <c r="F41" s="36">
        <f>IF(B41="","",B41-Settings!$B$4)</f>
        <v/>
      </c>
    </row>
    <row r="42">
      <c r="A42" s="35" t="n"/>
      <c r="B42" s="30" t="n"/>
      <c r="C42" s="36">
        <f>IF(OR(B42="",B41=""),"",B42-B41)</f>
        <v/>
      </c>
      <c r="D42" s="21">
        <f>IF(B42="","",B42/Settings!$B$3^2)</f>
        <v/>
      </c>
      <c r="E42" s="21">
        <f>IF(B42="","",AVERAGE(B36:B42))</f>
        <v/>
      </c>
      <c r="F42" s="36">
        <f>IF(B42="","",B42-Settings!$B$4)</f>
        <v/>
      </c>
    </row>
    <row r="43">
      <c r="A43" s="35" t="n"/>
      <c r="B43" s="30" t="n"/>
      <c r="C43" s="36">
        <f>IF(OR(B43="",B42=""),"",B43-B42)</f>
        <v/>
      </c>
      <c r="D43" s="21">
        <f>IF(B43="","",B43/Settings!$B$3^2)</f>
        <v/>
      </c>
      <c r="E43" s="21">
        <f>IF(B43="","",AVERAGE(B37:B43))</f>
        <v/>
      </c>
      <c r="F43" s="36">
        <f>IF(B43="","",B43-Settings!$B$4)</f>
        <v/>
      </c>
    </row>
    <row r="44">
      <c r="A44" s="35" t="n"/>
      <c r="B44" s="30" t="n"/>
      <c r="C44" s="36">
        <f>IF(OR(B44="",B43=""),"",B44-B43)</f>
        <v/>
      </c>
      <c r="D44" s="21">
        <f>IF(B44="","",B44/Settings!$B$3^2)</f>
        <v/>
      </c>
      <c r="E44" s="21">
        <f>IF(B44="","",AVERAGE(B38:B44))</f>
        <v/>
      </c>
      <c r="F44" s="36">
        <f>IF(B44="","",B44-Settings!$B$4)</f>
        <v/>
      </c>
    </row>
    <row r="45">
      <c r="A45" s="35" t="n"/>
      <c r="B45" s="30" t="n"/>
      <c r="C45" s="36">
        <f>IF(OR(B45="",B44=""),"",B45-B44)</f>
        <v/>
      </c>
      <c r="D45" s="21">
        <f>IF(B45="","",B45/Settings!$B$3^2)</f>
        <v/>
      </c>
      <c r="E45" s="21">
        <f>IF(B45="","",AVERAGE(B39:B45))</f>
        <v/>
      </c>
      <c r="F45" s="36">
        <f>IF(B45="","",B45-Settings!$B$4)</f>
        <v/>
      </c>
    </row>
    <row r="46">
      <c r="A46" s="35" t="n"/>
      <c r="B46" s="30" t="n"/>
      <c r="C46" s="36">
        <f>IF(OR(B46="",B45=""),"",B46-B45)</f>
        <v/>
      </c>
      <c r="D46" s="21">
        <f>IF(B46="","",B46/Settings!$B$3^2)</f>
        <v/>
      </c>
      <c r="E46" s="21">
        <f>IF(B46="","",AVERAGE(B40:B46))</f>
        <v/>
      </c>
      <c r="F46" s="36">
        <f>IF(B46="","",B46-Settings!$B$4)</f>
        <v/>
      </c>
    </row>
    <row r="47">
      <c r="A47" s="35" t="n"/>
      <c r="B47" s="30" t="n"/>
      <c r="C47" s="36">
        <f>IF(OR(B47="",B46=""),"",B47-B46)</f>
        <v/>
      </c>
      <c r="D47" s="21">
        <f>IF(B47="","",B47/Settings!$B$3^2)</f>
        <v/>
      </c>
      <c r="E47" s="21">
        <f>IF(B47="","",AVERAGE(B41:B47))</f>
        <v/>
      </c>
      <c r="F47" s="36">
        <f>IF(B47="","",B47-Settings!$B$4)</f>
        <v/>
      </c>
    </row>
    <row r="48">
      <c r="A48" s="35" t="n"/>
      <c r="B48" s="30" t="n"/>
      <c r="C48" s="36">
        <f>IF(OR(B48="",B47=""),"",B48-B47)</f>
        <v/>
      </c>
      <c r="D48" s="21">
        <f>IF(B48="","",B48/Settings!$B$3^2)</f>
        <v/>
      </c>
      <c r="E48" s="21">
        <f>IF(B48="","",AVERAGE(B42:B48))</f>
        <v/>
      </c>
      <c r="F48" s="36">
        <f>IF(B48="","",B48-Settings!$B$4)</f>
        <v/>
      </c>
    </row>
    <row r="49">
      <c r="A49" s="35" t="n"/>
      <c r="B49" s="30" t="n"/>
      <c r="C49" s="36">
        <f>IF(OR(B49="",B48=""),"",B49-B48)</f>
        <v/>
      </c>
      <c r="D49" s="21">
        <f>IF(B49="","",B49/Settings!$B$3^2)</f>
        <v/>
      </c>
      <c r="E49" s="21">
        <f>IF(B49="","",AVERAGE(B43:B49))</f>
        <v/>
      </c>
      <c r="F49" s="36">
        <f>IF(B49="","",B49-Settings!$B$4)</f>
        <v/>
      </c>
    </row>
    <row r="50">
      <c r="A50" s="35" t="n"/>
      <c r="B50" s="30" t="n"/>
      <c r="C50" s="36">
        <f>IF(OR(B50="",B49=""),"",B50-B49)</f>
        <v/>
      </c>
      <c r="D50" s="21">
        <f>IF(B50="","",B50/Settings!$B$3^2)</f>
        <v/>
      </c>
      <c r="E50" s="21">
        <f>IF(B50="","",AVERAGE(B44:B50))</f>
        <v/>
      </c>
      <c r="F50" s="36">
        <f>IF(B50="","",B50-Settings!$B$4)</f>
        <v/>
      </c>
    </row>
    <row r="51">
      <c r="A51" s="35" t="n"/>
      <c r="B51" s="30" t="n"/>
      <c r="C51" s="36">
        <f>IF(OR(B51="",B50=""),"",B51-B50)</f>
        <v/>
      </c>
      <c r="D51" s="21">
        <f>IF(B51="","",B51/Settings!$B$3^2)</f>
        <v/>
      </c>
      <c r="E51" s="21">
        <f>IF(B51="","",AVERAGE(B45:B51))</f>
        <v/>
      </c>
      <c r="F51" s="36">
        <f>IF(B51="","",B51-Settings!$B$4)</f>
        <v/>
      </c>
    </row>
    <row r="52">
      <c r="A52" s="35" t="n"/>
      <c r="B52" s="30" t="n"/>
      <c r="C52" s="36">
        <f>IF(OR(B52="",B51=""),"",B52-B51)</f>
        <v/>
      </c>
      <c r="D52" s="21">
        <f>IF(B52="","",B52/Settings!$B$3^2)</f>
        <v/>
      </c>
      <c r="E52" s="21">
        <f>IF(B52="","",AVERAGE(B46:B52))</f>
        <v/>
      </c>
      <c r="F52" s="36">
        <f>IF(B52="","",B52-Settings!$B$4)</f>
        <v/>
      </c>
    </row>
    <row r="53">
      <c r="A53" s="35" t="n"/>
      <c r="B53" s="30" t="n"/>
      <c r="C53" s="36">
        <f>IF(OR(B53="",B52=""),"",B53-B52)</f>
        <v/>
      </c>
      <c r="D53" s="21">
        <f>IF(B53="","",B53/Settings!$B$3^2)</f>
        <v/>
      </c>
      <c r="E53" s="21">
        <f>IF(B53="","",AVERAGE(B47:B53))</f>
        <v/>
      </c>
      <c r="F53" s="36">
        <f>IF(B53="","",B53-Settings!$B$4)</f>
        <v/>
      </c>
    </row>
    <row r="54">
      <c r="A54" s="35" t="n"/>
      <c r="B54" s="30" t="n"/>
      <c r="C54" s="36">
        <f>IF(OR(B54="",B53=""),"",B54-B53)</f>
        <v/>
      </c>
      <c r="D54" s="21">
        <f>IF(B54="","",B54/Settings!$B$3^2)</f>
        <v/>
      </c>
      <c r="E54" s="21">
        <f>IF(B54="","",AVERAGE(B48:B54))</f>
        <v/>
      </c>
      <c r="F54" s="36">
        <f>IF(B54="","",B54-Settings!$B$4)</f>
        <v/>
      </c>
    </row>
    <row r="55">
      <c r="A55" s="35" t="n"/>
      <c r="B55" s="30" t="n"/>
      <c r="C55" s="36">
        <f>IF(OR(B55="",B54=""),"",B55-B54)</f>
        <v/>
      </c>
      <c r="D55" s="21">
        <f>IF(B55="","",B55/Settings!$B$3^2)</f>
        <v/>
      </c>
      <c r="E55" s="21">
        <f>IF(B55="","",AVERAGE(B49:B55))</f>
        <v/>
      </c>
      <c r="F55" s="36">
        <f>IF(B55="","",B55-Settings!$B$4)</f>
        <v/>
      </c>
    </row>
    <row r="56">
      <c r="A56" s="35" t="n"/>
      <c r="B56" s="30" t="n"/>
      <c r="C56" s="36">
        <f>IF(OR(B56="",B55=""),"",B56-B55)</f>
        <v/>
      </c>
      <c r="D56" s="21">
        <f>IF(B56="","",B56/Settings!$B$3^2)</f>
        <v/>
      </c>
      <c r="E56" s="21">
        <f>IF(B56="","",AVERAGE(B50:B56))</f>
        <v/>
      </c>
      <c r="F56" s="36">
        <f>IF(B56="","",B56-Settings!$B$4)</f>
        <v/>
      </c>
    </row>
    <row r="57">
      <c r="A57" s="35" t="n"/>
      <c r="B57" s="30" t="n"/>
      <c r="C57" s="36">
        <f>IF(OR(B57="",B56=""),"",B57-B56)</f>
        <v/>
      </c>
      <c r="D57" s="21">
        <f>IF(B57="","",B57/Settings!$B$3^2)</f>
        <v/>
      </c>
      <c r="E57" s="21">
        <f>IF(B57="","",AVERAGE(B51:B57))</f>
        <v/>
      </c>
      <c r="F57" s="36">
        <f>IF(B57="","",B57-Settings!$B$4)</f>
        <v/>
      </c>
    </row>
    <row r="58">
      <c r="A58" s="35" t="n"/>
      <c r="B58" s="30" t="n"/>
      <c r="C58" s="36">
        <f>IF(OR(B58="",B57=""),"",B58-B57)</f>
        <v/>
      </c>
      <c r="D58" s="21">
        <f>IF(B58="","",B58/Settings!$B$3^2)</f>
        <v/>
      </c>
      <c r="E58" s="21">
        <f>IF(B58="","",AVERAGE(B52:B58))</f>
        <v/>
      </c>
      <c r="F58" s="36">
        <f>IF(B58="","",B58-Settings!$B$4)</f>
        <v/>
      </c>
    </row>
    <row r="59">
      <c r="A59" s="35" t="n"/>
      <c r="B59" s="30" t="n"/>
      <c r="C59" s="36">
        <f>IF(OR(B59="",B58=""),"",B59-B58)</f>
        <v/>
      </c>
      <c r="D59" s="21">
        <f>IF(B59="","",B59/Settings!$B$3^2)</f>
        <v/>
      </c>
      <c r="E59" s="21">
        <f>IF(B59="","",AVERAGE(B53:B59))</f>
        <v/>
      </c>
      <c r="F59" s="36">
        <f>IF(B59="","",B59-Settings!$B$4)</f>
        <v/>
      </c>
    </row>
    <row r="60">
      <c r="A60" s="35" t="n"/>
      <c r="B60" s="30" t="n"/>
      <c r="C60" s="36">
        <f>IF(OR(B60="",B59=""),"",B60-B59)</f>
        <v/>
      </c>
      <c r="D60" s="21">
        <f>IF(B60="","",B60/Settings!$B$3^2)</f>
        <v/>
      </c>
      <c r="E60" s="21">
        <f>IF(B60="","",AVERAGE(B54:B60))</f>
        <v/>
      </c>
      <c r="F60" s="36">
        <f>IF(B60="","",B60-Settings!$B$4)</f>
        <v/>
      </c>
    </row>
    <row r="61">
      <c r="A61" s="35" t="n"/>
      <c r="B61" s="30" t="n"/>
      <c r="C61" s="36">
        <f>IF(OR(B61="",B60=""),"",B61-B60)</f>
        <v/>
      </c>
      <c r="D61" s="21">
        <f>IF(B61="","",B61/Settings!$B$3^2)</f>
        <v/>
      </c>
      <c r="E61" s="21">
        <f>IF(B61="","",AVERAGE(B55:B61))</f>
        <v/>
      </c>
      <c r="F61" s="36">
        <f>IF(B61="","",B61-Settings!$B$4)</f>
        <v/>
      </c>
    </row>
    <row r="62">
      <c r="A62" s="35" t="n"/>
      <c r="B62" s="30" t="n"/>
      <c r="C62" s="36">
        <f>IF(OR(B62="",B61=""),"",B62-B61)</f>
        <v/>
      </c>
      <c r="D62" s="21">
        <f>IF(B62="","",B62/Settings!$B$3^2)</f>
        <v/>
      </c>
      <c r="E62" s="21">
        <f>IF(B62="","",AVERAGE(B56:B62))</f>
        <v/>
      </c>
      <c r="F62" s="36">
        <f>IF(B62="","",B62-Settings!$B$4)</f>
        <v/>
      </c>
    </row>
    <row r="63">
      <c r="A63" s="35" t="n"/>
      <c r="B63" s="30" t="n"/>
      <c r="C63" s="36">
        <f>IF(OR(B63="",B62=""),"",B63-B62)</f>
        <v/>
      </c>
      <c r="D63" s="21">
        <f>IF(B63="","",B63/Settings!$B$3^2)</f>
        <v/>
      </c>
      <c r="E63" s="21">
        <f>IF(B63="","",AVERAGE(B57:B63))</f>
        <v/>
      </c>
      <c r="F63" s="36">
        <f>IF(B63="","",B63-Settings!$B$4)</f>
        <v/>
      </c>
    </row>
    <row r="64">
      <c r="A64" s="35" t="n"/>
      <c r="B64" s="30" t="n"/>
      <c r="C64" s="36">
        <f>IF(OR(B64="",B63=""),"",B64-B63)</f>
        <v/>
      </c>
      <c r="D64" s="21">
        <f>IF(B64="","",B64/Settings!$B$3^2)</f>
        <v/>
      </c>
      <c r="E64" s="21">
        <f>IF(B64="","",AVERAGE(B58:B64))</f>
        <v/>
      </c>
      <c r="F64" s="36">
        <f>IF(B64="","",B64-Settings!$B$4)</f>
        <v/>
      </c>
    </row>
    <row r="65">
      <c r="A65" s="35" t="n"/>
      <c r="B65" s="30" t="n"/>
      <c r="C65" s="36">
        <f>IF(OR(B65="",B64=""),"",B65-B64)</f>
        <v/>
      </c>
      <c r="D65" s="21">
        <f>IF(B65="","",B65/Settings!$B$3^2)</f>
        <v/>
      </c>
      <c r="E65" s="21">
        <f>IF(B65="","",AVERAGE(B59:B65))</f>
        <v/>
      </c>
      <c r="F65" s="36">
        <f>IF(B65="","",B65-Settings!$B$4)</f>
        <v/>
      </c>
    </row>
    <row r="66">
      <c r="A66" s="35" t="n"/>
      <c r="B66" s="30" t="n"/>
      <c r="C66" s="36">
        <f>IF(OR(B66="",B65=""),"",B66-B65)</f>
        <v/>
      </c>
      <c r="D66" s="21">
        <f>IF(B66="","",B66/Settings!$B$3^2)</f>
        <v/>
      </c>
      <c r="E66" s="21">
        <f>IF(B66="","",AVERAGE(B60:B66))</f>
        <v/>
      </c>
      <c r="F66" s="36">
        <f>IF(B66="","",B66-Settings!$B$4)</f>
        <v/>
      </c>
    </row>
    <row r="67">
      <c r="A67" s="35" t="n"/>
      <c r="B67" s="30" t="n"/>
      <c r="C67" s="36">
        <f>IF(OR(B67="",B66=""),"",B67-B66)</f>
        <v/>
      </c>
      <c r="D67" s="21">
        <f>IF(B67="","",B67/Settings!$B$3^2)</f>
        <v/>
      </c>
      <c r="E67" s="21">
        <f>IF(B67="","",AVERAGE(B61:B67))</f>
        <v/>
      </c>
      <c r="F67" s="36">
        <f>IF(B67="","",B67-Settings!$B$4)</f>
        <v/>
      </c>
    </row>
    <row r="68">
      <c r="A68" s="35" t="n"/>
      <c r="B68" s="30" t="n"/>
      <c r="C68" s="36">
        <f>IF(OR(B68="",B67=""),"",B68-B67)</f>
        <v/>
      </c>
      <c r="D68" s="21">
        <f>IF(B68="","",B68/Settings!$B$3^2)</f>
        <v/>
      </c>
      <c r="E68" s="21">
        <f>IF(B68="","",AVERAGE(B62:B68))</f>
        <v/>
      </c>
      <c r="F68" s="36">
        <f>IF(B68="","",B68-Settings!$B$4)</f>
        <v/>
      </c>
    </row>
    <row r="69">
      <c r="A69" s="35" t="n"/>
      <c r="B69" s="30" t="n"/>
      <c r="C69" s="36">
        <f>IF(OR(B69="",B68=""),"",B69-B68)</f>
        <v/>
      </c>
      <c r="D69" s="21">
        <f>IF(B69="","",B69/Settings!$B$3^2)</f>
        <v/>
      </c>
      <c r="E69" s="21">
        <f>IF(B69="","",AVERAGE(B63:B69))</f>
        <v/>
      </c>
      <c r="F69" s="36">
        <f>IF(B69="","",B69-Settings!$B$4)</f>
        <v/>
      </c>
    </row>
    <row r="70">
      <c r="A70" s="35" t="n"/>
      <c r="B70" s="30" t="n"/>
      <c r="C70" s="36">
        <f>IF(OR(B70="",B69=""),"",B70-B69)</f>
        <v/>
      </c>
      <c r="D70" s="21">
        <f>IF(B70="","",B70/Settings!$B$3^2)</f>
        <v/>
      </c>
      <c r="E70" s="21">
        <f>IF(B70="","",AVERAGE(B64:B70))</f>
        <v/>
      </c>
      <c r="F70" s="36">
        <f>IF(B70="","",B70-Settings!$B$4)</f>
        <v/>
      </c>
    </row>
    <row r="71">
      <c r="A71" s="35" t="n"/>
      <c r="B71" s="30" t="n"/>
      <c r="C71" s="36">
        <f>IF(OR(B71="",B70=""),"",B71-B70)</f>
        <v/>
      </c>
      <c r="D71" s="21">
        <f>IF(B71="","",B71/Settings!$B$3^2)</f>
        <v/>
      </c>
      <c r="E71" s="21">
        <f>IF(B71="","",AVERAGE(B65:B71))</f>
        <v/>
      </c>
      <c r="F71" s="36">
        <f>IF(B71="","",B71-Settings!$B$4)</f>
        <v/>
      </c>
    </row>
    <row r="72">
      <c r="A72" s="35" t="n"/>
      <c r="B72" s="30" t="n"/>
      <c r="C72" s="36">
        <f>IF(OR(B72="",B71=""),"",B72-B71)</f>
        <v/>
      </c>
      <c r="D72" s="21">
        <f>IF(B72="","",B72/Settings!$B$3^2)</f>
        <v/>
      </c>
      <c r="E72" s="21">
        <f>IF(B72="","",AVERAGE(B66:B72))</f>
        <v/>
      </c>
      <c r="F72" s="36">
        <f>IF(B72="","",B72-Settings!$B$4)</f>
        <v/>
      </c>
    </row>
    <row r="73">
      <c r="A73" s="35" t="n"/>
      <c r="B73" s="30" t="n"/>
      <c r="C73" s="36">
        <f>IF(OR(B73="",B72=""),"",B73-B72)</f>
        <v/>
      </c>
      <c r="D73" s="21">
        <f>IF(B73="","",B73/Settings!$B$3^2)</f>
        <v/>
      </c>
      <c r="E73" s="21">
        <f>IF(B73="","",AVERAGE(B67:B73))</f>
        <v/>
      </c>
      <c r="F73" s="36">
        <f>IF(B73="","",B73-Settings!$B$4)</f>
        <v/>
      </c>
    </row>
    <row r="74">
      <c r="A74" s="35" t="n"/>
      <c r="B74" s="30" t="n"/>
      <c r="C74" s="36">
        <f>IF(OR(B74="",B73=""),"",B74-B73)</f>
        <v/>
      </c>
      <c r="D74" s="21">
        <f>IF(B74="","",B74/Settings!$B$3^2)</f>
        <v/>
      </c>
      <c r="E74" s="21">
        <f>IF(B74="","",AVERAGE(B68:B74))</f>
        <v/>
      </c>
      <c r="F74" s="36">
        <f>IF(B74="","",B74-Settings!$B$4)</f>
        <v/>
      </c>
    </row>
    <row r="75">
      <c r="A75" s="35" t="n"/>
      <c r="B75" s="30" t="n"/>
      <c r="C75" s="36">
        <f>IF(OR(B75="",B74=""),"",B75-B74)</f>
        <v/>
      </c>
      <c r="D75" s="21">
        <f>IF(B75="","",B75/Settings!$B$3^2)</f>
        <v/>
      </c>
      <c r="E75" s="21">
        <f>IF(B75="","",AVERAGE(B69:B75))</f>
        <v/>
      </c>
      <c r="F75" s="36">
        <f>IF(B75="","",B75-Settings!$B$4)</f>
        <v/>
      </c>
    </row>
    <row r="76">
      <c r="A76" s="35" t="n"/>
      <c r="B76" s="30" t="n"/>
      <c r="C76" s="36">
        <f>IF(OR(B76="",B75=""),"",B76-B75)</f>
        <v/>
      </c>
      <c r="D76" s="21">
        <f>IF(B76="","",B76/Settings!$B$3^2)</f>
        <v/>
      </c>
      <c r="E76" s="21">
        <f>IF(B76="","",AVERAGE(B70:B76))</f>
        <v/>
      </c>
      <c r="F76" s="36">
        <f>IF(B76="","",B76-Settings!$B$4)</f>
        <v/>
      </c>
    </row>
    <row r="77">
      <c r="A77" s="35" t="n"/>
      <c r="B77" s="30" t="n"/>
      <c r="C77" s="36">
        <f>IF(OR(B77="",B76=""),"",B77-B76)</f>
        <v/>
      </c>
      <c r="D77" s="21">
        <f>IF(B77="","",B77/Settings!$B$3^2)</f>
        <v/>
      </c>
      <c r="E77" s="21">
        <f>IF(B77="","",AVERAGE(B71:B77))</f>
        <v/>
      </c>
      <c r="F77" s="36">
        <f>IF(B77="","",B77-Settings!$B$4)</f>
        <v/>
      </c>
    </row>
    <row r="78">
      <c r="A78" s="35" t="n"/>
      <c r="B78" s="30" t="n"/>
      <c r="C78" s="36">
        <f>IF(OR(B78="",B77=""),"",B78-B77)</f>
        <v/>
      </c>
      <c r="D78" s="21">
        <f>IF(B78="","",B78/Settings!$B$3^2)</f>
        <v/>
      </c>
      <c r="E78" s="21">
        <f>IF(B78="","",AVERAGE(B72:B78))</f>
        <v/>
      </c>
      <c r="F78" s="36">
        <f>IF(B78="","",B78-Settings!$B$4)</f>
        <v/>
      </c>
    </row>
    <row r="79">
      <c r="A79" s="35" t="n"/>
      <c r="B79" s="30" t="n"/>
      <c r="C79" s="36">
        <f>IF(OR(B79="",B78=""),"",B79-B78)</f>
        <v/>
      </c>
      <c r="D79" s="21">
        <f>IF(B79="","",B79/Settings!$B$3^2)</f>
        <v/>
      </c>
      <c r="E79" s="21">
        <f>IF(B79="","",AVERAGE(B73:B79))</f>
        <v/>
      </c>
      <c r="F79" s="36">
        <f>IF(B79="","",B79-Settings!$B$4)</f>
        <v/>
      </c>
    </row>
    <row r="80">
      <c r="A80" s="35" t="n"/>
      <c r="B80" s="30" t="n"/>
      <c r="C80" s="36">
        <f>IF(OR(B80="",B79=""),"",B80-B79)</f>
        <v/>
      </c>
      <c r="D80" s="21">
        <f>IF(B80="","",B80/Settings!$B$3^2)</f>
        <v/>
      </c>
      <c r="E80" s="21">
        <f>IF(B80="","",AVERAGE(B74:B80))</f>
        <v/>
      </c>
      <c r="F80" s="36">
        <f>IF(B80="","",B80-Settings!$B$4)</f>
        <v/>
      </c>
    </row>
    <row r="81">
      <c r="A81" s="35" t="n"/>
      <c r="B81" s="30" t="n"/>
      <c r="C81" s="36">
        <f>IF(OR(B81="",B80=""),"",B81-B80)</f>
        <v/>
      </c>
      <c r="D81" s="21">
        <f>IF(B81="","",B81/Settings!$B$3^2)</f>
        <v/>
      </c>
      <c r="E81" s="21">
        <f>IF(B81="","",AVERAGE(B75:B81))</f>
        <v/>
      </c>
      <c r="F81" s="36">
        <f>IF(B81="","",B81-Settings!$B$4)</f>
        <v/>
      </c>
    </row>
    <row r="82">
      <c r="A82" s="35" t="n"/>
      <c r="B82" s="30" t="n"/>
      <c r="C82" s="36">
        <f>IF(OR(B82="",B81=""),"",B82-B81)</f>
        <v/>
      </c>
      <c r="D82" s="21">
        <f>IF(B82="","",B82/Settings!$B$3^2)</f>
        <v/>
      </c>
      <c r="E82" s="21">
        <f>IF(B82="","",AVERAGE(B76:B82))</f>
        <v/>
      </c>
      <c r="F82" s="36">
        <f>IF(B82="","",B82-Settings!$B$4)</f>
        <v/>
      </c>
    </row>
    <row r="83">
      <c r="A83" s="35" t="n"/>
      <c r="B83" s="30" t="n"/>
      <c r="C83" s="36">
        <f>IF(OR(B83="",B82=""),"",B83-B82)</f>
        <v/>
      </c>
      <c r="D83" s="21">
        <f>IF(B83="","",B83/Settings!$B$3^2)</f>
        <v/>
      </c>
      <c r="E83" s="21">
        <f>IF(B83="","",AVERAGE(B77:B83))</f>
        <v/>
      </c>
      <c r="F83" s="36">
        <f>IF(B83="","",B83-Settings!$B$4)</f>
        <v/>
      </c>
    </row>
    <row r="84">
      <c r="A84" s="35" t="n"/>
      <c r="B84" s="30" t="n"/>
      <c r="C84" s="36">
        <f>IF(OR(B84="",B83=""),"",B84-B83)</f>
        <v/>
      </c>
      <c r="D84" s="21">
        <f>IF(B84="","",B84/Settings!$B$3^2)</f>
        <v/>
      </c>
      <c r="E84" s="21">
        <f>IF(B84="","",AVERAGE(B78:B84))</f>
        <v/>
      </c>
      <c r="F84" s="36">
        <f>IF(B84="","",B84-Settings!$B$4)</f>
        <v/>
      </c>
    </row>
    <row r="85">
      <c r="A85" s="35" t="n"/>
      <c r="B85" s="30" t="n"/>
      <c r="C85" s="36">
        <f>IF(OR(B85="",B84=""),"",B85-B84)</f>
        <v/>
      </c>
      <c r="D85" s="21">
        <f>IF(B85="","",B85/Settings!$B$3^2)</f>
        <v/>
      </c>
      <c r="E85" s="21">
        <f>IF(B85="","",AVERAGE(B79:B85))</f>
        <v/>
      </c>
      <c r="F85" s="36">
        <f>IF(B85="","",B85-Settings!$B$4)</f>
        <v/>
      </c>
    </row>
    <row r="86">
      <c r="A86" s="35" t="n"/>
      <c r="B86" s="30" t="n"/>
      <c r="C86" s="36">
        <f>IF(OR(B86="",B85=""),"",B86-B85)</f>
        <v/>
      </c>
      <c r="D86" s="21">
        <f>IF(B86="","",B86/Settings!$B$3^2)</f>
        <v/>
      </c>
      <c r="E86" s="21">
        <f>IF(B86="","",AVERAGE(B80:B86))</f>
        <v/>
      </c>
      <c r="F86" s="36">
        <f>IF(B86="","",B86-Settings!$B$4)</f>
        <v/>
      </c>
    </row>
    <row r="87">
      <c r="A87" s="35" t="n"/>
      <c r="B87" s="30" t="n"/>
      <c r="C87" s="36">
        <f>IF(OR(B87="",B86=""),"",B87-B86)</f>
        <v/>
      </c>
      <c r="D87" s="21">
        <f>IF(B87="","",B87/Settings!$B$3^2)</f>
        <v/>
      </c>
      <c r="E87" s="21">
        <f>IF(B87="","",AVERAGE(B81:B87))</f>
        <v/>
      </c>
      <c r="F87" s="36">
        <f>IF(B87="","",B87-Settings!$B$4)</f>
        <v/>
      </c>
    </row>
    <row r="88">
      <c r="A88" s="35" t="n"/>
      <c r="B88" s="30" t="n"/>
      <c r="C88" s="36">
        <f>IF(OR(B88="",B87=""),"",B88-B87)</f>
        <v/>
      </c>
      <c r="D88" s="21">
        <f>IF(B88="","",B88/Settings!$B$3^2)</f>
        <v/>
      </c>
      <c r="E88" s="21">
        <f>IF(B88="","",AVERAGE(B82:B88))</f>
        <v/>
      </c>
      <c r="F88" s="36">
        <f>IF(B88="","",B88-Settings!$B$4)</f>
        <v/>
      </c>
    </row>
    <row r="89">
      <c r="A89" s="35" t="n"/>
      <c r="B89" s="30" t="n"/>
      <c r="C89" s="36">
        <f>IF(OR(B89="",B88=""),"",B89-B88)</f>
        <v/>
      </c>
      <c r="D89" s="21">
        <f>IF(B89="","",B89/Settings!$B$3^2)</f>
        <v/>
      </c>
      <c r="E89" s="21">
        <f>IF(B89="","",AVERAGE(B83:B89))</f>
        <v/>
      </c>
      <c r="F89" s="36">
        <f>IF(B89="","",B89-Settings!$B$4)</f>
        <v/>
      </c>
    </row>
    <row r="90">
      <c r="A90" s="35" t="n"/>
      <c r="B90" s="30" t="n"/>
      <c r="C90" s="36">
        <f>IF(OR(B90="",B89=""),"",B90-B89)</f>
        <v/>
      </c>
      <c r="D90" s="21">
        <f>IF(B90="","",B90/Settings!$B$3^2)</f>
        <v/>
      </c>
      <c r="E90" s="21">
        <f>IF(B90="","",AVERAGE(B84:B90))</f>
        <v/>
      </c>
      <c r="F90" s="36">
        <f>IF(B90="","",B90-Settings!$B$4)</f>
        <v/>
      </c>
    </row>
    <row r="91">
      <c r="A91" s="35" t="n"/>
      <c r="B91" s="30" t="n"/>
      <c r="C91" s="36">
        <f>IF(OR(B91="",B90=""),"",B91-B90)</f>
        <v/>
      </c>
      <c r="D91" s="21">
        <f>IF(B91="","",B91/Settings!$B$3^2)</f>
        <v/>
      </c>
      <c r="E91" s="21">
        <f>IF(B91="","",AVERAGE(B85:B91))</f>
        <v/>
      </c>
      <c r="F91" s="36">
        <f>IF(B91="","",B91-Settings!$B$4)</f>
        <v/>
      </c>
    </row>
    <row r="92">
      <c r="A92" s="35" t="n"/>
      <c r="B92" s="30" t="n"/>
      <c r="C92" s="36">
        <f>IF(OR(B92="",B91=""),"",B92-B91)</f>
        <v/>
      </c>
      <c r="D92" s="21">
        <f>IF(B92="","",B92/Settings!$B$3^2)</f>
        <v/>
      </c>
      <c r="E92" s="21">
        <f>IF(B92="","",AVERAGE(B86:B92))</f>
        <v/>
      </c>
      <c r="F92" s="36">
        <f>IF(B92="","",B92-Settings!$B$4)</f>
        <v/>
      </c>
    </row>
    <row r="93">
      <c r="A93" s="35" t="n"/>
      <c r="B93" s="30" t="n"/>
      <c r="C93" s="36">
        <f>IF(OR(B93="",B92=""),"",B93-B92)</f>
        <v/>
      </c>
      <c r="D93" s="21">
        <f>IF(B93="","",B93/Settings!$B$3^2)</f>
        <v/>
      </c>
      <c r="E93" s="21">
        <f>IF(B93="","",AVERAGE(B87:B93))</f>
        <v/>
      </c>
      <c r="F93" s="36">
        <f>IF(B93="","",B93-Settings!$B$4)</f>
        <v/>
      </c>
    </row>
    <row r="94">
      <c r="A94" s="35" t="n"/>
      <c r="B94" s="30" t="n"/>
      <c r="C94" s="36">
        <f>IF(OR(B94="",B93=""),"",B94-B93)</f>
        <v/>
      </c>
      <c r="D94" s="21">
        <f>IF(B94="","",B94/Settings!$B$3^2)</f>
        <v/>
      </c>
      <c r="E94" s="21">
        <f>IF(B94="","",AVERAGE(B88:B94))</f>
        <v/>
      </c>
      <c r="F94" s="36">
        <f>IF(B94="","",B94-Settings!$B$4)</f>
        <v/>
      </c>
    </row>
    <row r="95">
      <c r="A95" s="35" t="n"/>
      <c r="B95" s="30" t="n"/>
      <c r="C95" s="36">
        <f>IF(OR(B95="",B94=""),"",B95-B94)</f>
        <v/>
      </c>
      <c r="D95" s="21">
        <f>IF(B95="","",B95/Settings!$B$3^2)</f>
        <v/>
      </c>
      <c r="E95" s="21">
        <f>IF(B95="","",AVERAGE(B89:B95))</f>
        <v/>
      </c>
      <c r="F95" s="36">
        <f>IF(B95="","",B95-Settings!$B$4)</f>
        <v/>
      </c>
    </row>
    <row r="96">
      <c r="A96" s="35" t="n"/>
      <c r="B96" s="30" t="n"/>
      <c r="C96" s="36">
        <f>IF(OR(B96="",B95=""),"",B96-B95)</f>
        <v/>
      </c>
      <c r="D96" s="21">
        <f>IF(B96="","",B96/Settings!$B$3^2)</f>
        <v/>
      </c>
      <c r="E96" s="21">
        <f>IF(B96="","",AVERAGE(B90:B96))</f>
        <v/>
      </c>
      <c r="F96" s="36">
        <f>IF(B96="","",B96-Settings!$B$4)</f>
        <v/>
      </c>
    </row>
    <row r="97">
      <c r="A97" s="35" t="n"/>
      <c r="B97" s="30" t="n"/>
      <c r="C97" s="36">
        <f>IF(OR(B97="",B96=""),"",B97-B96)</f>
        <v/>
      </c>
      <c r="D97" s="21">
        <f>IF(B97="","",B97/Settings!$B$3^2)</f>
        <v/>
      </c>
      <c r="E97" s="21">
        <f>IF(B97="","",AVERAGE(B91:B97))</f>
        <v/>
      </c>
      <c r="F97" s="36">
        <f>IF(B97="","",B97-Settings!$B$4)</f>
        <v/>
      </c>
    </row>
    <row r="98">
      <c r="A98" s="35" t="n"/>
      <c r="B98" s="30" t="n"/>
      <c r="C98" s="36">
        <f>IF(OR(B98="",B97=""),"",B98-B97)</f>
        <v/>
      </c>
      <c r="D98" s="21">
        <f>IF(B98="","",B98/Settings!$B$3^2)</f>
        <v/>
      </c>
      <c r="E98" s="21">
        <f>IF(B98="","",AVERAGE(B92:B98))</f>
        <v/>
      </c>
      <c r="F98" s="36">
        <f>IF(B98="","",B98-Settings!$B$4)</f>
        <v/>
      </c>
    </row>
    <row r="99">
      <c r="A99" s="35" t="n"/>
      <c r="B99" s="30" t="n"/>
      <c r="C99" s="36">
        <f>IF(OR(B99="",B98=""),"",B99-B98)</f>
        <v/>
      </c>
      <c r="D99" s="21">
        <f>IF(B99="","",B99/Settings!$B$3^2)</f>
        <v/>
      </c>
      <c r="E99" s="21">
        <f>IF(B99="","",AVERAGE(B93:B99))</f>
        <v/>
      </c>
      <c r="F99" s="36">
        <f>IF(B99="","",B99-Settings!$B$4)</f>
        <v/>
      </c>
    </row>
    <row r="100">
      <c r="A100" s="35" t="n"/>
      <c r="B100" s="30" t="n"/>
      <c r="C100" s="36">
        <f>IF(OR(B100="",B99=""),"",B100-B99)</f>
        <v/>
      </c>
      <c r="D100" s="21">
        <f>IF(B100="","",B100/Settings!$B$3^2)</f>
        <v/>
      </c>
      <c r="E100" s="21">
        <f>IF(B100="","",AVERAGE(B94:B100))</f>
        <v/>
      </c>
      <c r="F100" s="36">
        <f>IF(B100="","",B100-Settings!$B$4)</f>
        <v/>
      </c>
    </row>
    <row r="101">
      <c r="A101" s="35" t="n"/>
      <c r="B101" s="30" t="n"/>
      <c r="C101" s="36">
        <f>IF(OR(B101="",B100=""),"",B101-B100)</f>
        <v/>
      </c>
      <c r="D101" s="21">
        <f>IF(B101="","",B101/Settings!$B$3^2)</f>
        <v/>
      </c>
      <c r="E101" s="21">
        <f>IF(B101="","",AVERAGE(B95:B101))</f>
        <v/>
      </c>
      <c r="F101" s="36">
        <f>IF(B101="","",B101-Settings!$B$4)</f>
        <v/>
      </c>
    </row>
    <row r="102">
      <c r="A102" s="35" t="n"/>
      <c r="B102" s="30" t="n"/>
      <c r="C102" s="36">
        <f>IF(OR(B102="",B101=""),"",B102-B101)</f>
        <v/>
      </c>
      <c r="D102" s="21">
        <f>IF(B102="","",B102/Settings!$B$3^2)</f>
        <v/>
      </c>
      <c r="E102" s="21">
        <f>IF(B102="","",AVERAGE(B96:B102))</f>
        <v/>
      </c>
      <c r="F102" s="36">
        <f>IF(B102="","",B102-Settings!$B$4)</f>
        <v/>
      </c>
    </row>
    <row r="103">
      <c r="A103" s="35" t="n"/>
      <c r="B103" s="30" t="n"/>
      <c r="C103" s="36">
        <f>IF(OR(B103="",B102=""),"",B103-B102)</f>
        <v/>
      </c>
      <c r="D103" s="21">
        <f>IF(B103="","",B103/Settings!$B$3^2)</f>
        <v/>
      </c>
      <c r="E103" s="21">
        <f>IF(B103="","",AVERAGE(B97:B103))</f>
        <v/>
      </c>
      <c r="F103" s="36">
        <f>IF(B103="","",B103-Settings!$B$4)</f>
        <v/>
      </c>
    </row>
    <row r="104">
      <c r="A104" s="35" t="n"/>
      <c r="B104" s="30" t="n"/>
      <c r="C104" s="36">
        <f>IF(OR(B104="",B103=""),"",B104-B103)</f>
        <v/>
      </c>
      <c r="D104" s="21">
        <f>IF(B104="","",B104/Settings!$B$3^2)</f>
        <v/>
      </c>
      <c r="E104" s="21">
        <f>IF(B104="","",AVERAGE(B98:B104))</f>
        <v/>
      </c>
      <c r="F104" s="36">
        <f>IF(B104="","",B104-Settings!$B$4)</f>
        <v/>
      </c>
    </row>
    <row r="105">
      <c r="A105" s="35" t="n"/>
      <c r="B105" s="30" t="n"/>
      <c r="C105" s="36">
        <f>IF(OR(B105="",B104=""),"",B105-B104)</f>
        <v/>
      </c>
      <c r="D105" s="21">
        <f>IF(B105="","",B105/Settings!$B$3^2)</f>
        <v/>
      </c>
      <c r="E105" s="21">
        <f>IF(B105="","",AVERAGE(B99:B105))</f>
        <v/>
      </c>
      <c r="F105" s="36">
        <f>IF(B105="","",B105-Settings!$B$4)</f>
        <v/>
      </c>
    </row>
    <row r="106">
      <c r="A106" s="35" t="n"/>
      <c r="B106" s="30" t="n"/>
      <c r="C106" s="36">
        <f>IF(OR(B106="",B105=""),"",B106-B105)</f>
        <v/>
      </c>
      <c r="D106" s="21">
        <f>IF(B106="","",B106/Settings!$B$3^2)</f>
        <v/>
      </c>
      <c r="E106" s="21">
        <f>IF(B106="","",AVERAGE(B100:B106))</f>
        <v/>
      </c>
      <c r="F106" s="36">
        <f>IF(B106="","",B106-Settings!$B$4)</f>
        <v/>
      </c>
    </row>
    <row r="107">
      <c r="A107" s="35" t="n"/>
      <c r="B107" s="30" t="n"/>
      <c r="C107" s="36">
        <f>IF(OR(B107="",B106=""),"",B107-B106)</f>
        <v/>
      </c>
      <c r="D107" s="21">
        <f>IF(B107="","",B107/Settings!$B$3^2)</f>
        <v/>
      </c>
      <c r="E107" s="21">
        <f>IF(B107="","",AVERAGE(B101:B107))</f>
        <v/>
      </c>
      <c r="F107" s="36">
        <f>IF(B107="","",B107-Settings!$B$4)</f>
        <v/>
      </c>
    </row>
    <row r="108">
      <c r="A108" s="35" t="n"/>
      <c r="B108" s="30" t="n"/>
      <c r="C108" s="36">
        <f>IF(OR(B108="",B107=""),"",B108-B107)</f>
        <v/>
      </c>
      <c r="D108" s="21">
        <f>IF(B108="","",B108/Settings!$B$3^2)</f>
        <v/>
      </c>
      <c r="E108" s="21">
        <f>IF(B108="","",AVERAGE(B102:B108))</f>
        <v/>
      </c>
      <c r="F108" s="36">
        <f>IF(B108="","",B108-Settings!$B$4)</f>
        <v/>
      </c>
    </row>
    <row r="109">
      <c r="A109" s="35" t="n"/>
      <c r="B109" s="30" t="n"/>
      <c r="C109" s="36">
        <f>IF(OR(B109="",B108=""),"",B109-B108)</f>
        <v/>
      </c>
      <c r="D109" s="21">
        <f>IF(B109="","",B109/Settings!$B$3^2)</f>
        <v/>
      </c>
      <c r="E109" s="21">
        <f>IF(B109="","",AVERAGE(B103:B109))</f>
        <v/>
      </c>
      <c r="F109" s="36">
        <f>IF(B109="","",B109-Settings!$B$4)</f>
        <v/>
      </c>
    </row>
    <row r="110">
      <c r="A110" s="35" t="n"/>
      <c r="B110" s="30" t="n"/>
      <c r="C110" s="36">
        <f>IF(OR(B110="",B109=""),"",B110-B109)</f>
        <v/>
      </c>
      <c r="D110" s="21">
        <f>IF(B110="","",B110/Settings!$B$3^2)</f>
        <v/>
      </c>
      <c r="E110" s="21">
        <f>IF(B110="","",AVERAGE(B104:B110))</f>
        <v/>
      </c>
      <c r="F110" s="36">
        <f>IF(B110="","",B110-Settings!$B$4)</f>
        <v/>
      </c>
    </row>
    <row r="111">
      <c r="A111" s="35" t="n"/>
      <c r="B111" s="30" t="n"/>
      <c r="C111" s="36">
        <f>IF(OR(B111="",B110=""),"",B111-B110)</f>
        <v/>
      </c>
      <c r="D111" s="21">
        <f>IF(B111="","",B111/Settings!$B$3^2)</f>
        <v/>
      </c>
      <c r="E111" s="21">
        <f>IF(B111="","",AVERAGE(B105:B111))</f>
        <v/>
      </c>
      <c r="F111" s="36">
        <f>IF(B111="","",B111-Settings!$B$4)</f>
        <v/>
      </c>
    </row>
    <row r="112">
      <c r="A112" s="35" t="n"/>
      <c r="B112" s="30" t="n"/>
      <c r="C112" s="36">
        <f>IF(OR(B112="",B111=""),"",B112-B111)</f>
        <v/>
      </c>
      <c r="D112" s="21">
        <f>IF(B112="","",B112/Settings!$B$3^2)</f>
        <v/>
      </c>
      <c r="E112" s="21">
        <f>IF(B112="","",AVERAGE(B106:B112))</f>
        <v/>
      </c>
      <c r="F112" s="36">
        <f>IF(B112="","",B112-Settings!$B$4)</f>
        <v/>
      </c>
    </row>
    <row r="113">
      <c r="A113" s="35" t="n"/>
      <c r="B113" s="30" t="n"/>
      <c r="C113" s="36">
        <f>IF(OR(B113="",B112=""),"",B113-B112)</f>
        <v/>
      </c>
      <c r="D113" s="21">
        <f>IF(B113="","",B113/Settings!$B$3^2)</f>
        <v/>
      </c>
      <c r="E113" s="21">
        <f>IF(B113="","",AVERAGE(B107:B113))</f>
        <v/>
      </c>
      <c r="F113" s="36">
        <f>IF(B113="","",B113-Settings!$B$4)</f>
        <v/>
      </c>
    </row>
    <row r="114">
      <c r="A114" s="35" t="n"/>
      <c r="B114" s="30" t="n"/>
      <c r="C114" s="36">
        <f>IF(OR(B114="",B113=""),"",B114-B113)</f>
        <v/>
      </c>
      <c r="D114" s="21">
        <f>IF(B114="","",B114/Settings!$B$3^2)</f>
        <v/>
      </c>
      <c r="E114" s="21">
        <f>IF(B114="","",AVERAGE(B108:B114))</f>
        <v/>
      </c>
      <c r="F114" s="36">
        <f>IF(B114="","",B114-Settings!$B$4)</f>
        <v/>
      </c>
    </row>
    <row r="115">
      <c r="A115" s="35" t="n"/>
      <c r="B115" s="30" t="n"/>
      <c r="C115" s="36">
        <f>IF(OR(B115="",B114=""),"",B115-B114)</f>
        <v/>
      </c>
      <c r="D115" s="21">
        <f>IF(B115="","",B115/Settings!$B$3^2)</f>
        <v/>
      </c>
      <c r="E115" s="21">
        <f>IF(B115="","",AVERAGE(B109:B115))</f>
        <v/>
      </c>
      <c r="F115" s="36">
        <f>IF(B115="","",B115-Settings!$B$4)</f>
        <v/>
      </c>
    </row>
    <row r="116">
      <c r="A116" s="35" t="n"/>
      <c r="B116" s="30" t="n"/>
      <c r="C116" s="36">
        <f>IF(OR(B116="",B115=""),"",B116-B115)</f>
        <v/>
      </c>
      <c r="D116" s="21">
        <f>IF(B116="","",B116/Settings!$B$3^2)</f>
        <v/>
      </c>
      <c r="E116" s="21">
        <f>IF(B116="","",AVERAGE(B110:B116))</f>
        <v/>
      </c>
      <c r="F116" s="36">
        <f>IF(B116="","",B116-Settings!$B$4)</f>
        <v/>
      </c>
    </row>
    <row r="117">
      <c r="A117" s="35" t="n"/>
      <c r="B117" s="30" t="n"/>
      <c r="C117" s="36">
        <f>IF(OR(B117="",B116=""),"",B117-B116)</f>
        <v/>
      </c>
      <c r="D117" s="21">
        <f>IF(B117="","",B117/Settings!$B$3^2)</f>
        <v/>
      </c>
      <c r="E117" s="21">
        <f>IF(B117="","",AVERAGE(B111:B117))</f>
        <v/>
      </c>
      <c r="F117" s="36">
        <f>IF(B117="","",B117-Settings!$B$4)</f>
        <v/>
      </c>
    </row>
    <row r="118">
      <c r="A118" s="35" t="n"/>
      <c r="B118" s="30" t="n"/>
      <c r="C118" s="36">
        <f>IF(OR(B118="",B117=""),"",B118-B117)</f>
        <v/>
      </c>
      <c r="D118" s="21">
        <f>IF(B118="","",B118/Settings!$B$3^2)</f>
        <v/>
      </c>
      <c r="E118" s="21">
        <f>IF(B118="","",AVERAGE(B112:B118))</f>
        <v/>
      </c>
      <c r="F118" s="36">
        <f>IF(B118="","",B118-Settings!$B$4)</f>
        <v/>
      </c>
    </row>
    <row r="119">
      <c r="A119" s="35" t="n"/>
      <c r="B119" s="30" t="n"/>
      <c r="C119" s="36">
        <f>IF(OR(B119="",B118=""),"",B119-B118)</f>
        <v/>
      </c>
      <c r="D119" s="21">
        <f>IF(B119="","",B119/Settings!$B$3^2)</f>
        <v/>
      </c>
      <c r="E119" s="21">
        <f>IF(B119="","",AVERAGE(B113:B119))</f>
        <v/>
      </c>
      <c r="F119" s="36">
        <f>IF(B119="","",B119-Settings!$B$4)</f>
        <v/>
      </c>
    </row>
    <row r="120">
      <c r="A120" s="35" t="n"/>
      <c r="B120" s="30" t="n"/>
      <c r="C120" s="36">
        <f>IF(OR(B120="",B119=""),"",B120-B119)</f>
        <v/>
      </c>
      <c r="D120" s="21">
        <f>IF(B120="","",B120/Settings!$B$3^2)</f>
        <v/>
      </c>
      <c r="E120" s="21">
        <f>IF(B120="","",AVERAGE(B114:B120))</f>
        <v/>
      </c>
      <c r="F120" s="36">
        <f>IF(B120="","",B120-Settings!$B$4)</f>
        <v/>
      </c>
    </row>
    <row r="121">
      <c r="A121" s="35" t="n"/>
      <c r="B121" s="30" t="n"/>
      <c r="C121" s="36">
        <f>IF(OR(B121="",B120=""),"",B121-B120)</f>
        <v/>
      </c>
      <c r="D121" s="21">
        <f>IF(B121="","",B121/Settings!$B$3^2)</f>
        <v/>
      </c>
      <c r="E121" s="21">
        <f>IF(B121="","",AVERAGE(B115:B121))</f>
        <v/>
      </c>
      <c r="F121" s="36">
        <f>IF(B121="","",B121-Settings!$B$4)</f>
        <v/>
      </c>
    </row>
    <row r="122">
      <c r="A122" s="35" t="n"/>
      <c r="B122" s="30" t="n"/>
      <c r="C122" s="36">
        <f>IF(OR(B122="",B121=""),"",B122-B121)</f>
        <v/>
      </c>
      <c r="D122" s="21">
        <f>IF(B122="","",B122/Settings!$B$3^2)</f>
        <v/>
      </c>
      <c r="E122" s="21">
        <f>IF(B122="","",AVERAGE(B116:B122))</f>
        <v/>
      </c>
      <c r="F122" s="36">
        <f>IF(B122="","",B122-Settings!$B$4)</f>
        <v/>
      </c>
    </row>
    <row r="123">
      <c r="A123" s="35" t="n"/>
      <c r="B123" s="30" t="n"/>
      <c r="C123" s="36">
        <f>IF(OR(B123="",B122=""),"",B123-B122)</f>
        <v/>
      </c>
      <c r="D123" s="21">
        <f>IF(B123="","",B123/Settings!$B$3^2)</f>
        <v/>
      </c>
      <c r="E123" s="21">
        <f>IF(B123="","",AVERAGE(B117:B123))</f>
        <v/>
      </c>
      <c r="F123" s="36">
        <f>IF(B123="","",B123-Settings!$B$4)</f>
        <v/>
      </c>
    </row>
    <row r="124">
      <c r="A124" s="35" t="n"/>
      <c r="B124" s="30" t="n"/>
      <c r="C124" s="36">
        <f>IF(OR(B124="",B123=""),"",B124-B123)</f>
        <v/>
      </c>
      <c r="D124" s="21">
        <f>IF(B124="","",B124/Settings!$B$3^2)</f>
        <v/>
      </c>
      <c r="E124" s="21">
        <f>IF(B124="","",AVERAGE(B118:B124))</f>
        <v/>
      </c>
      <c r="F124" s="36">
        <f>IF(B124="","",B124-Settings!$B$4)</f>
        <v/>
      </c>
    </row>
    <row r="125">
      <c r="A125" s="35" t="n"/>
      <c r="B125" s="30" t="n"/>
      <c r="C125" s="36">
        <f>IF(OR(B125="",B124=""),"",B125-B124)</f>
        <v/>
      </c>
      <c r="D125" s="21">
        <f>IF(B125="","",B125/Settings!$B$3^2)</f>
        <v/>
      </c>
      <c r="E125" s="21">
        <f>IF(B125="","",AVERAGE(B119:B125))</f>
        <v/>
      </c>
      <c r="F125" s="36">
        <f>IF(B125="","",B125-Settings!$B$4)</f>
        <v/>
      </c>
    </row>
    <row r="126">
      <c r="A126" s="35" t="n"/>
      <c r="B126" s="30" t="n"/>
      <c r="C126" s="36">
        <f>IF(OR(B126="",B125=""),"",B126-B125)</f>
        <v/>
      </c>
      <c r="D126" s="21">
        <f>IF(B126="","",B126/Settings!$B$3^2)</f>
        <v/>
      </c>
      <c r="E126" s="21">
        <f>IF(B126="","",AVERAGE(B120:B126))</f>
        <v/>
      </c>
      <c r="F126" s="36">
        <f>IF(B126="","",B126-Settings!$B$4)</f>
        <v/>
      </c>
    </row>
    <row r="127">
      <c r="A127" s="35" t="n"/>
      <c r="B127" s="30" t="n"/>
      <c r="C127" s="36">
        <f>IF(OR(B127="",B126=""),"",B127-B126)</f>
        <v/>
      </c>
      <c r="D127" s="21">
        <f>IF(B127="","",B127/Settings!$B$3^2)</f>
        <v/>
      </c>
      <c r="E127" s="21">
        <f>IF(B127="","",AVERAGE(B121:B127))</f>
        <v/>
      </c>
      <c r="F127" s="36">
        <f>IF(B127="","",B127-Settings!$B$4)</f>
        <v/>
      </c>
    </row>
    <row r="128">
      <c r="A128" s="35" t="n"/>
      <c r="B128" s="30" t="n"/>
      <c r="C128" s="36">
        <f>IF(OR(B128="",B127=""),"",B128-B127)</f>
        <v/>
      </c>
      <c r="D128" s="21">
        <f>IF(B128="","",B128/Settings!$B$3^2)</f>
        <v/>
      </c>
      <c r="E128" s="21">
        <f>IF(B128="","",AVERAGE(B122:B128))</f>
        <v/>
      </c>
      <c r="F128" s="36">
        <f>IF(B128="","",B128-Settings!$B$4)</f>
        <v/>
      </c>
    </row>
    <row r="129">
      <c r="A129" s="35" t="n"/>
      <c r="B129" s="30" t="n"/>
      <c r="C129" s="36">
        <f>IF(OR(B129="",B128=""),"",B129-B128)</f>
        <v/>
      </c>
      <c r="D129" s="21">
        <f>IF(B129="","",B129/Settings!$B$3^2)</f>
        <v/>
      </c>
      <c r="E129" s="21">
        <f>IF(B129="","",AVERAGE(B123:B129))</f>
        <v/>
      </c>
      <c r="F129" s="36">
        <f>IF(B129="","",B129-Settings!$B$4)</f>
        <v/>
      </c>
    </row>
    <row r="130">
      <c r="A130" s="35" t="n"/>
      <c r="B130" s="30" t="n"/>
      <c r="C130" s="36">
        <f>IF(OR(B130="",B129=""),"",B130-B129)</f>
        <v/>
      </c>
      <c r="D130" s="21">
        <f>IF(B130="","",B130/Settings!$B$3^2)</f>
        <v/>
      </c>
      <c r="E130" s="21">
        <f>IF(B130="","",AVERAGE(B124:B130))</f>
        <v/>
      </c>
      <c r="F130" s="36">
        <f>IF(B130="","",B130-Settings!$B$4)</f>
        <v/>
      </c>
    </row>
    <row r="131">
      <c r="A131" s="35" t="n"/>
      <c r="B131" s="30" t="n"/>
      <c r="C131" s="36">
        <f>IF(OR(B131="",B130=""),"",B131-B130)</f>
        <v/>
      </c>
      <c r="D131" s="21">
        <f>IF(B131="","",B131/Settings!$B$3^2)</f>
        <v/>
      </c>
      <c r="E131" s="21">
        <f>IF(B131="","",AVERAGE(B125:B131))</f>
        <v/>
      </c>
      <c r="F131" s="36">
        <f>IF(B131="","",B131-Settings!$B$4)</f>
        <v/>
      </c>
    </row>
    <row r="132">
      <c r="A132" s="35" t="n"/>
      <c r="B132" s="30" t="n"/>
      <c r="C132" s="36">
        <f>IF(OR(B132="",B131=""),"",B132-B131)</f>
        <v/>
      </c>
      <c r="D132" s="21">
        <f>IF(B132="","",B132/Settings!$B$3^2)</f>
        <v/>
      </c>
      <c r="E132" s="21">
        <f>IF(B132="","",AVERAGE(B126:B132))</f>
        <v/>
      </c>
      <c r="F132" s="36">
        <f>IF(B132="","",B132-Settings!$B$4)</f>
        <v/>
      </c>
    </row>
    <row r="133">
      <c r="A133" s="35" t="n"/>
      <c r="B133" s="30" t="n"/>
      <c r="C133" s="36">
        <f>IF(OR(B133="",B132=""),"",B133-B132)</f>
        <v/>
      </c>
      <c r="D133" s="21">
        <f>IF(B133="","",B133/Settings!$B$3^2)</f>
        <v/>
      </c>
      <c r="E133" s="21">
        <f>IF(B133="","",AVERAGE(B127:B133))</f>
        <v/>
      </c>
      <c r="F133" s="36">
        <f>IF(B133="","",B133-Settings!$B$4)</f>
        <v/>
      </c>
    </row>
    <row r="134">
      <c r="A134" s="35" t="n"/>
      <c r="B134" s="30" t="n"/>
      <c r="C134" s="36">
        <f>IF(OR(B134="",B133=""),"",B134-B133)</f>
        <v/>
      </c>
      <c r="D134" s="21">
        <f>IF(B134="","",B134/Settings!$B$3^2)</f>
        <v/>
      </c>
      <c r="E134" s="21">
        <f>IF(B134="","",AVERAGE(B128:B134))</f>
        <v/>
      </c>
      <c r="F134" s="36">
        <f>IF(B134="","",B134-Settings!$B$4)</f>
        <v/>
      </c>
    </row>
    <row r="135">
      <c r="A135" s="35" t="n"/>
      <c r="B135" s="30" t="n"/>
      <c r="C135" s="36">
        <f>IF(OR(B135="",B134=""),"",B135-B134)</f>
        <v/>
      </c>
      <c r="D135" s="21">
        <f>IF(B135="","",B135/Settings!$B$3^2)</f>
        <v/>
      </c>
      <c r="E135" s="21">
        <f>IF(B135="","",AVERAGE(B129:B135))</f>
        <v/>
      </c>
      <c r="F135" s="36">
        <f>IF(B135="","",B135-Settings!$B$4)</f>
        <v/>
      </c>
    </row>
    <row r="136">
      <c r="A136" s="35" t="n"/>
      <c r="B136" s="30" t="n"/>
      <c r="C136" s="36">
        <f>IF(OR(B136="",B135=""),"",B136-B135)</f>
        <v/>
      </c>
      <c r="D136" s="21">
        <f>IF(B136="","",B136/Settings!$B$3^2)</f>
        <v/>
      </c>
      <c r="E136" s="21">
        <f>IF(B136="","",AVERAGE(B130:B136))</f>
        <v/>
      </c>
      <c r="F136" s="36">
        <f>IF(B136="","",B136-Settings!$B$4)</f>
        <v/>
      </c>
    </row>
    <row r="137">
      <c r="A137" s="35" t="n"/>
      <c r="B137" s="30" t="n"/>
      <c r="C137" s="36">
        <f>IF(OR(B137="",B136=""),"",B137-B136)</f>
        <v/>
      </c>
      <c r="D137" s="21">
        <f>IF(B137="","",B137/Settings!$B$3^2)</f>
        <v/>
      </c>
      <c r="E137" s="21">
        <f>IF(B137="","",AVERAGE(B131:B137))</f>
        <v/>
      </c>
      <c r="F137" s="36">
        <f>IF(B137="","",B137-Settings!$B$4)</f>
        <v/>
      </c>
    </row>
    <row r="138">
      <c r="A138" s="35" t="n"/>
      <c r="B138" s="30" t="n"/>
      <c r="C138" s="36">
        <f>IF(OR(B138="",B137=""),"",B138-B137)</f>
        <v/>
      </c>
      <c r="D138" s="21">
        <f>IF(B138="","",B138/Settings!$B$3^2)</f>
        <v/>
      </c>
      <c r="E138" s="21">
        <f>IF(B138="","",AVERAGE(B132:B138))</f>
        <v/>
      </c>
      <c r="F138" s="36">
        <f>IF(B138="","",B138-Settings!$B$4)</f>
        <v/>
      </c>
    </row>
    <row r="139">
      <c r="A139" s="35" t="n"/>
      <c r="B139" s="30" t="n"/>
      <c r="C139" s="36">
        <f>IF(OR(B139="",B138=""),"",B139-B138)</f>
        <v/>
      </c>
      <c r="D139" s="21">
        <f>IF(B139="","",B139/Settings!$B$3^2)</f>
        <v/>
      </c>
      <c r="E139" s="21">
        <f>IF(B139="","",AVERAGE(B133:B139))</f>
        <v/>
      </c>
      <c r="F139" s="36">
        <f>IF(B139="","",B139-Settings!$B$4)</f>
        <v/>
      </c>
    </row>
    <row r="140">
      <c r="A140" s="35" t="n"/>
      <c r="B140" s="30" t="n"/>
      <c r="C140" s="36">
        <f>IF(OR(B140="",B139=""),"",B140-B139)</f>
        <v/>
      </c>
      <c r="D140" s="21">
        <f>IF(B140="","",B140/Settings!$B$3^2)</f>
        <v/>
      </c>
      <c r="E140" s="21">
        <f>IF(B140="","",AVERAGE(B134:B140))</f>
        <v/>
      </c>
      <c r="F140" s="36">
        <f>IF(B140="","",B140-Settings!$B$4)</f>
        <v/>
      </c>
    </row>
    <row r="141">
      <c r="A141" s="35" t="n"/>
      <c r="B141" s="30" t="n"/>
      <c r="C141" s="36">
        <f>IF(OR(B141="",B140=""),"",B141-B140)</f>
        <v/>
      </c>
      <c r="D141" s="21">
        <f>IF(B141="","",B141/Settings!$B$3^2)</f>
        <v/>
      </c>
      <c r="E141" s="21">
        <f>IF(B141="","",AVERAGE(B135:B141))</f>
        <v/>
      </c>
      <c r="F141" s="36">
        <f>IF(B141="","",B141-Settings!$B$4)</f>
        <v/>
      </c>
    </row>
    <row r="142">
      <c r="A142" s="35" t="n"/>
      <c r="B142" s="30" t="n"/>
      <c r="C142" s="36">
        <f>IF(OR(B142="",B141=""),"",B142-B141)</f>
        <v/>
      </c>
      <c r="D142" s="21">
        <f>IF(B142="","",B142/Settings!$B$3^2)</f>
        <v/>
      </c>
      <c r="E142" s="21">
        <f>IF(B142="","",AVERAGE(B136:B142))</f>
        <v/>
      </c>
      <c r="F142" s="36">
        <f>IF(B142="","",B142-Settings!$B$4)</f>
        <v/>
      </c>
    </row>
    <row r="143">
      <c r="A143" s="35" t="n"/>
      <c r="B143" s="30" t="n"/>
      <c r="C143" s="36">
        <f>IF(OR(B143="",B142=""),"",B143-B142)</f>
        <v/>
      </c>
      <c r="D143" s="21">
        <f>IF(B143="","",B143/Settings!$B$3^2)</f>
        <v/>
      </c>
      <c r="E143" s="21">
        <f>IF(B143="","",AVERAGE(B137:B143))</f>
        <v/>
      </c>
      <c r="F143" s="36">
        <f>IF(B143="","",B143-Settings!$B$4)</f>
        <v/>
      </c>
    </row>
    <row r="144">
      <c r="A144" s="35" t="n"/>
      <c r="B144" s="30" t="n"/>
      <c r="C144" s="36">
        <f>IF(OR(B144="",B143=""),"",B144-B143)</f>
        <v/>
      </c>
      <c r="D144" s="21">
        <f>IF(B144="","",B144/Settings!$B$3^2)</f>
        <v/>
      </c>
      <c r="E144" s="21">
        <f>IF(B144="","",AVERAGE(B138:B144))</f>
        <v/>
      </c>
      <c r="F144" s="36">
        <f>IF(B144="","",B144-Settings!$B$4)</f>
        <v/>
      </c>
    </row>
    <row r="145">
      <c r="A145" s="35" t="n"/>
      <c r="B145" s="30" t="n"/>
      <c r="C145" s="36">
        <f>IF(OR(B145="",B144=""),"",B145-B144)</f>
        <v/>
      </c>
      <c r="D145" s="21">
        <f>IF(B145="","",B145/Settings!$B$3^2)</f>
        <v/>
      </c>
      <c r="E145" s="21">
        <f>IF(B145="","",AVERAGE(B139:B145))</f>
        <v/>
      </c>
      <c r="F145" s="36">
        <f>IF(B145="","",B145-Settings!$B$4)</f>
        <v/>
      </c>
    </row>
    <row r="146">
      <c r="A146" s="35" t="n"/>
      <c r="B146" s="30" t="n"/>
      <c r="C146" s="36">
        <f>IF(OR(B146="",B145=""),"",B146-B145)</f>
        <v/>
      </c>
      <c r="D146" s="21">
        <f>IF(B146="","",B146/Settings!$B$3^2)</f>
        <v/>
      </c>
      <c r="E146" s="21">
        <f>IF(B146="","",AVERAGE(B140:B146))</f>
        <v/>
      </c>
      <c r="F146" s="36">
        <f>IF(B146="","",B146-Settings!$B$4)</f>
        <v/>
      </c>
    </row>
    <row r="147">
      <c r="A147" s="35" t="n"/>
      <c r="B147" s="30" t="n"/>
      <c r="C147" s="36">
        <f>IF(OR(B147="",B146=""),"",B147-B146)</f>
        <v/>
      </c>
      <c r="D147" s="21">
        <f>IF(B147="","",B147/Settings!$B$3^2)</f>
        <v/>
      </c>
      <c r="E147" s="21">
        <f>IF(B147="","",AVERAGE(B141:B147))</f>
        <v/>
      </c>
      <c r="F147" s="36">
        <f>IF(B147="","",B147-Settings!$B$4)</f>
        <v/>
      </c>
    </row>
    <row r="148">
      <c r="A148" s="35" t="n"/>
      <c r="B148" s="30" t="n"/>
      <c r="C148" s="36">
        <f>IF(OR(B148="",B147=""),"",B148-B147)</f>
        <v/>
      </c>
      <c r="D148" s="21">
        <f>IF(B148="","",B148/Settings!$B$3^2)</f>
        <v/>
      </c>
      <c r="E148" s="21">
        <f>IF(B148="","",AVERAGE(B142:B148))</f>
        <v/>
      </c>
      <c r="F148" s="36">
        <f>IF(B148="","",B148-Settings!$B$4)</f>
        <v/>
      </c>
    </row>
    <row r="149">
      <c r="A149" s="35" t="n"/>
      <c r="B149" s="30" t="n"/>
      <c r="C149" s="36">
        <f>IF(OR(B149="",B148=""),"",B149-B148)</f>
        <v/>
      </c>
      <c r="D149" s="21">
        <f>IF(B149="","",B149/Settings!$B$3^2)</f>
        <v/>
      </c>
      <c r="E149" s="21">
        <f>IF(B149="","",AVERAGE(B143:B149))</f>
        <v/>
      </c>
      <c r="F149" s="36">
        <f>IF(B149="","",B149-Settings!$B$4)</f>
        <v/>
      </c>
    </row>
    <row r="150">
      <c r="A150" s="35" t="n"/>
      <c r="B150" s="30" t="n"/>
      <c r="C150" s="36">
        <f>IF(OR(B150="",B149=""),"",B150-B149)</f>
        <v/>
      </c>
      <c r="D150" s="21">
        <f>IF(B150="","",B150/Settings!$B$3^2)</f>
        <v/>
      </c>
      <c r="E150" s="21">
        <f>IF(B150="","",AVERAGE(B144:B150))</f>
        <v/>
      </c>
      <c r="F150" s="36">
        <f>IF(B150="","",B150-Settings!$B$4)</f>
        <v/>
      </c>
    </row>
    <row r="151">
      <c r="A151" s="35" t="n"/>
      <c r="B151" s="30" t="n"/>
      <c r="C151" s="36">
        <f>IF(OR(B151="",B150=""),"",B151-B150)</f>
        <v/>
      </c>
      <c r="D151" s="21">
        <f>IF(B151="","",B151/Settings!$B$3^2)</f>
        <v/>
      </c>
      <c r="E151" s="21">
        <f>IF(B151="","",AVERAGE(B145:B151))</f>
        <v/>
      </c>
      <c r="F151" s="36">
        <f>IF(B151="","",B151-Settings!$B$4)</f>
        <v/>
      </c>
    </row>
    <row r="152">
      <c r="A152" s="35" t="n"/>
      <c r="B152" s="30" t="n"/>
      <c r="C152" s="36">
        <f>IF(OR(B152="",B151=""),"",B152-B151)</f>
        <v/>
      </c>
      <c r="D152" s="21">
        <f>IF(B152="","",B152/Settings!$B$3^2)</f>
        <v/>
      </c>
      <c r="E152" s="21">
        <f>IF(B152="","",AVERAGE(B146:B152))</f>
        <v/>
      </c>
      <c r="F152" s="36">
        <f>IF(B152="","",B152-Settings!$B$4)</f>
        <v/>
      </c>
    </row>
    <row r="153">
      <c r="A153" s="35" t="n"/>
      <c r="B153" s="30" t="n"/>
      <c r="C153" s="36">
        <f>IF(OR(B153="",B152=""),"",B153-B152)</f>
        <v/>
      </c>
      <c r="D153" s="21">
        <f>IF(B153="","",B153/Settings!$B$3^2)</f>
        <v/>
      </c>
      <c r="E153" s="21">
        <f>IF(B153="","",AVERAGE(B147:B153))</f>
        <v/>
      </c>
      <c r="F153" s="36">
        <f>IF(B153="","",B153-Settings!$B$4)</f>
        <v/>
      </c>
    </row>
    <row r="154">
      <c r="A154" s="35" t="n"/>
      <c r="B154" s="30" t="n"/>
      <c r="C154" s="36">
        <f>IF(OR(B154="",B153=""),"",B154-B153)</f>
        <v/>
      </c>
      <c r="D154" s="21">
        <f>IF(B154="","",B154/Settings!$B$3^2)</f>
        <v/>
      </c>
      <c r="E154" s="21">
        <f>IF(B154="","",AVERAGE(B148:B154))</f>
        <v/>
      </c>
      <c r="F154" s="36">
        <f>IF(B154="","",B154-Settings!$B$4)</f>
        <v/>
      </c>
    </row>
    <row r="155">
      <c r="A155" s="35" t="n"/>
      <c r="B155" s="30" t="n"/>
      <c r="C155" s="36">
        <f>IF(OR(B155="",B154=""),"",B155-B154)</f>
        <v/>
      </c>
      <c r="D155" s="21">
        <f>IF(B155="","",B155/Settings!$B$3^2)</f>
        <v/>
      </c>
      <c r="E155" s="21">
        <f>IF(B155="","",AVERAGE(B149:B155))</f>
        <v/>
      </c>
      <c r="F155" s="36">
        <f>IF(B155="","",B155-Settings!$B$4)</f>
        <v/>
      </c>
    </row>
    <row r="156">
      <c r="A156" s="35" t="n"/>
      <c r="B156" s="30" t="n"/>
      <c r="C156" s="36">
        <f>IF(OR(B156="",B155=""),"",B156-B155)</f>
        <v/>
      </c>
      <c r="D156" s="21">
        <f>IF(B156="","",B156/Settings!$B$3^2)</f>
        <v/>
      </c>
      <c r="E156" s="21">
        <f>IF(B156="","",AVERAGE(B150:B156))</f>
        <v/>
      </c>
      <c r="F156" s="36">
        <f>IF(B156="","",B156-Settings!$B$4)</f>
        <v/>
      </c>
    </row>
    <row r="157">
      <c r="A157" s="35" t="n"/>
      <c r="B157" s="30" t="n"/>
      <c r="C157" s="36">
        <f>IF(OR(B157="",B156=""),"",B157-B156)</f>
        <v/>
      </c>
      <c r="D157" s="21">
        <f>IF(B157="","",B157/Settings!$B$3^2)</f>
        <v/>
      </c>
      <c r="E157" s="21">
        <f>IF(B157="","",AVERAGE(B151:B157))</f>
        <v/>
      </c>
      <c r="F157" s="36">
        <f>IF(B157="","",B157-Settings!$B$4)</f>
        <v/>
      </c>
    </row>
    <row r="158">
      <c r="A158" s="35" t="n"/>
      <c r="B158" s="30" t="n"/>
      <c r="C158" s="36">
        <f>IF(OR(B158="",B157=""),"",B158-B157)</f>
        <v/>
      </c>
      <c r="D158" s="21">
        <f>IF(B158="","",B158/Settings!$B$3^2)</f>
        <v/>
      </c>
      <c r="E158" s="21">
        <f>IF(B158="","",AVERAGE(B152:B158))</f>
        <v/>
      </c>
      <c r="F158" s="36">
        <f>IF(B158="","",B158-Settings!$B$4)</f>
        <v/>
      </c>
    </row>
    <row r="159">
      <c r="A159" s="35" t="n"/>
      <c r="B159" s="30" t="n"/>
      <c r="C159" s="36">
        <f>IF(OR(B159="",B158=""),"",B159-B158)</f>
        <v/>
      </c>
      <c r="D159" s="21">
        <f>IF(B159="","",B159/Settings!$B$3^2)</f>
        <v/>
      </c>
      <c r="E159" s="21">
        <f>IF(B159="","",AVERAGE(B153:B159))</f>
        <v/>
      </c>
      <c r="F159" s="36">
        <f>IF(B159="","",B159-Settings!$B$4)</f>
        <v/>
      </c>
    </row>
    <row r="160">
      <c r="A160" s="35" t="n"/>
      <c r="B160" s="30" t="n"/>
      <c r="C160" s="36">
        <f>IF(OR(B160="",B159=""),"",B160-B159)</f>
        <v/>
      </c>
      <c r="D160" s="21">
        <f>IF(B160="","",B160/Settings!$B$3^2)</f>
        <v/>
      </c>
      <c r="E160" s="21">
        <f>IF(B160="","",AVERAGE(B154:B160))</f>
        <v/>
      </c>
      <c r="F160" s="36">
        <f>IF(B160="","",B160-Settings!$B$4)</f>
        <v/>
      </c>
    </row>
    <row r="161">
      <c r="A161" s="35" t="n"/>
      <c r="B161" s="30" t="n"/>
      <c r="C161" s="36">
        <f>IF(OR(B161="",B160=""),"",B161-B160)</f>
        <v/>
      </c>
      <c r="D161" s="21">
        <f>IF(B161="","",B161/Settings!$B$3^2)</f>
        <v/>
      </c>
      <c r="E161" s="21">
        <f>IF(B161="","",AVERAGE(B155:B161))</f>
        <v/>
      </c>
      <c r="F161" s="36">
        <f>IF(B161="","",B161-Settings!$B$4)</f>
        <v/>
      </c>
    </row>
    <row r="162">
      <c r="A162" s="35" t="n"/>
      <c r="B162" s="30" t="n"/>
      <c r="C162" s="36">
        <f>IF(OR(B162="",B161=""),"",B162-B161)</f>
        <v/>
      </c>
      <c r="D162" s="21">
        <f>IF(B162="","",B162/Settings!$B$3^2)</f>
        <v/>
      </c>
      <c r="E162" s="21">
        <f>IF(B162="","",AVERAGE(B156:B162))</f>
        <v/>
      </c>
      <c r="F162" s="36">
        <f>IF(B162="","",B162-Settings!$B$4)</f>
        <v/>
      </c>
    </row>
    <row r="163">
      <c r="A163" s="35" t="n"/>
      <c r="B163" s="30" t="n"/>
      <c r="C163" s="36">
        <f>IF(OR(B163="",B162=""),"",B163-B162)</f>
        <v/>
      </c>
      <c r="D163" s="21">
        <f>IF(B163="","",B163/Settings!$B$3^2)</f>
        <v/>
      </c>
      <c r="E163" s="21">
        <f>IF(B163="","",AVERAGE(B157:B163))</f>
        <v/>
      </c>
      <c r="F163" s="36">
        <f>IF(B163="","",B163-Settings!$B$4)</f>
        <v/>
      </c>
    </row>
    <row r="164">
      <c r="A164" s="35" t="n"/>
      <c r="B164" s="30" t="n"/>
      <c r="C164" s="36">
        <f>IF(OR(B164="",B163=""),"",B164-B163)</f>
        <v/>
      </c>
      <c r="D164" s="21">
        <f>IF(B164="","",B164/Settings!$B$3^2)</f>
        <v/>
      </c>
      <c r="E164" s="21">
        <f>IF(B164="","",AVERAGE(B158:B164))</f>
        <v/>
      </c>
      <c r="F164" s="36">
        <f>IF(B164="","",B164-Settings!$B$4)</f>
        <v/>
      </c>
    </row>
    <row r="165">
      <c r="A165" s="35" t="n"/>
      <c r="B165" s="30" t="n"/>
      <c r="C165" s="36">
        <f>IF(OR(B165="",B164=""),"",B165-B164)</f>
        <v/>
      </c>
      <c r="D165" s="21">
        <f>IF(B165="","",B165/Settings!$B$3^2)</f>
        <v/>
      </c>
      <c r="E165" s="21">
        <f>IF(B165="","",AVERAGE(B159:B165))</f>
        <v/>
      </c>
      <c r="F165" s="36">
        <f>IF(B165="","",B165-Settings!$B$4)</f>
        <v/>
      </c>
    </row>
    <row r="166">
      <c r="A166" s="35" t="n"/>
      <c r="B166" s="30" t="n"/>
      <c r="C166" s="36">
        <f>IF(OR(B166="",B165=""),"",B166-B165)</f>
        <v/>
      </c>
      <c r="D166" s="21">
        <f>IF(B166="","",B166/Settings!$B$3^2)</f>
        <v/>
      </c>
      <c r="E166" s="21">
        <f>IF(B166="","",AVERAGE(B160:B166))</f>
        <v/>
      </c>
      <c r="F166" s="36">
        <f>IF(B166="","",B166-Settings!$B$4)</f>
        <v/>
      </c>
    </row>
    <row r="167">
      <c r="A167" s="35" t="n"/>
      <c r="B167" s="30" t="n"/>
      <c r="C167" s="36">
        <f>IF(OR(B167="",B166=""),"",B167-B166)</f>
        <v/>
      </c>
      <c r="D167" s="21">
        <f>IF(B167="","",B167/Settings!$B$3^2)</f>
        <v/>
      </c>
      <c r="E167" s="21">
        <f>IF(B167="","",AVERAGE(B161:B167))</f>
        <v/>
      </c>
      <c r="F167" s="36">
        <f>IF(B167="","",B167-Settings!$B$4)</f>
        <v/>
      </c>
    </row>
    <row r="168">
      <c r="A168" s="35" t="n"/>
      <c r="B168" s="30" t="n"/>
      <c r="C168" s="36">
        <f>IF(OR(B168="",B167=""),"",B168-B167)</f>
        <v/>
      </c>
      <c r="D168" s="21">
        <f>IF(B168="","",B168/Settings!$B$3^2)</f>
        <v/>
      </c>
      <c r="E168" s="21">
        <f>IF(B168="","",AVERAGE(B162:B168))</f>
        <v/>
      </c>
      <c r="F168" s="36">
        <f>IF(B168="","",B168-Settings!$B$4)</f>
        <v/>
      </c>
    </row>
    <row r="169">
      <c r="A169" s="35" t="n"/>
      <c r="B169" s="30" t="n"/>
      <c r="C169" s="36">
        <f>IF(OR(B169="",B168=""),"",B169-B168)</f>
        <v/>
      </c>
      <c r="D169" s="21">
        <f>IF(B169="","",B169/Settings!$B$3^2)</f>
        <v/>
      </c>
      <c r="E169" s="21">
        <f>IF(B169="","",AVERAGE(B163:B169))</f>
        <v/>
      </c>
      <c r="F169" s="36">
        <f>IF(B169="","",B169-Settings!$B$4)</f>
        <v/>
      </c>
    </row>
    <row r="170">
      <c r="A170" s="35" t="n"/>
      <c r="B170" s="30" t="n"/>
      <c r="C170" s="36">
        <f>IF(OR(B170="",B169=""),"",B170-B169)</f>
        <v/>
      </c>
      <c r="D170" s="21">
        <f>IF(B170="","",B170/Settings!$B$3^2)</f>
        <v/>
      </c>
      <c r="E170" s="21">
        <f>IF(B170="","",AVERAGE(B164:B170))</f>
        <v/>
      </c>
      <c r="F170" s="36">
        <f>IF(B170="","",B170-Settings!$B$4)</f>
        <v/>
      </c>
    </row>
    <row r="171">
      <c r="A171" s="35" t="n"/>
      <c r="B171" s="30" t="n"/>
      <c r="C171" s="36">
        <f>IF(OR(B171="",B170=""),"",B171-B170)</f>
        <v/>
      </c>
      <c r="D171" s="21">
        <f>IF(B171="","",B171/Settings!$B$3^2)</f>
        <v/>
      </c>
      <c r="E171" s="21">
        <f>IF(B171="","",AVERAGE(B165:B171))</f>
        <v/>
      </c>
      <c r="F171" s="36">
        <f>IF(B171="","",B171-Settings!$B$4)</f>
        <v/>
      </c>
    </row>
    <row r="172">
      <c r="A172" s="35" t="n"/>
      <c r="B172" s="30" t="n"/>
      <c r="C172" s="36">
        <f>IF(OR(B172="",B171=""),"",B172-B171)</f>
        <v/>
      </c>
      <c r="D172" s="21">
        <f>IF(B172="","",B172/Settings!$B$3^2)</f>
        <v/>
      </c>
      <c r="E172" s="21">
        <f>IF(B172="","",AVERAGE(B166:B172))</f>
        <v/>
      </c>
      <c r="F172" s="36">
        <f>IF(B172="","",B172-Settings!$B$4)</f>
        <v/>
      </c>
    </row>
    <row r="173">
      <c r="A173" s="35" t="n"/>
      <c r="B173" s="30" t="n"/>
      <c r="C173" s="36">
        <f>IF(OR(B173="",B172=""),"",B173-B172)</f>
        <v/>
      </c>
      <c r="D173" s="21">
        <f>IF(B173="","",B173/Settings!$B$3^2)</f>
        <v/>
      </c>
      <c r="E173" s="21">
        <f>IF(B173="","",AVERAGE(B167:B173))</f>
        <v/>
      </c>
      <c r="F173" s="36">
        <f>IF(B173="","",B173-Settings!$B$4)</f>
        <v/>
      </c>
    </row>
    <row r="174">
      <c r="A174" s="35" t="n"/>
      <c r="B174" s="30" t="n"/>
      <c r="C174" s="36">
        <f>IF(OR(B174="",B173=""),"",B174-B173)</f>
        <v/>
      </c>
      <c r="D174" s="21">
        <f>IF(B174="","",B174/Settings!$B$3^2)</f>
        <v/>
      </c>
      <c r="E174" s="21">
        <f>IF(B174="","",AVERAGE(B168:B174))</f>
        <v/>
      </c>
      <c r="F174" s="36">
        <f>IF(B174="","",B174-Settings!$B$4)</f>
        <v/>
      </c>
    </row>
    <row r="175">
      <c r="A175" s="35" t="n"/>
      <c r="B175" s="30" t="n"/>
      <c r="C175" s="36">
        <f>IF(OR(B175="",B174=""),"",B175-B174)</f>
        <v/>
      </c>
      <c r="D175" s="21">
        <f>IF(B175="","",B175/Settings!$B$3^2)</f>
        <v/>
      </c>
      <c r="E175" s="21">
        <f>IF(B175="","",AVERAGE(B169:B175))</f>
        <v/>
      </c>
      <c r="F175" s="36">
        <f>IF(B175="","",B175-Settings!$B$4)</f>
        <v/>
      </c>
    </row>
    <row r="176">
      <c r="A176" s="35" t="n"/>
      <c r="B176" s="30" t="n"/>
      <c r="C176" s="36">
        <f>IF(OR(B176="",B175=""),"",B176-B175)</f>
        <v/>
      </c>
      <c r="D176" s="21">
        <f>IF(B176="","",B176/Settings!$B$3^2)</f>
        <v/>
      </c>
      <c r="E176" s="21">
        <f>IF(B176="","",AVERAGE(B170:B176))</f>
        <v/>
      </c>
      <c r="F176" s="36">
        <f>IF(B176="","",B176-Settings!$B$4)</f>
        <v/>
      </c>
    </row>
    <row r="177">
      <c r="A177" s="35" t="n"/>
      <c r="B177" s="30" t="n"/>
      <c r="C177" s="36">
        <f>IF(OR(B177="",B176=""),"",B177-B176)</f>
        <v/>
      </c>
      <c r="D177" s="21">
        <f>IF(B177="","",B177/Settings!$B$3^2)</f>
        <v/>
      </c>
      <c r="E177" s="21">
        <f>IF(B177="","",AVERAGE(B171:B177))</f>
        <v/>
      </c>
      <c r="F177" s="36">
        <f>IF(B177="","",B177-Settings!$B$4)</f>
        <v/>
      </c>
    </row>
    <row r="178">
      <c r="A178" s="35" t="n"/>
      <c r="B178" s="30" t="n"/>
      <c r="C178" s="36">
        <f>IF(OR(B178="",B177=""),"",B178-B177)</f>
        <v/>
      </c>
      <c r="D178" s="21">
        <f>IF(B178="","",B178/Settings!$B$3^2)</f>
        <v/>
      </c>
      <c r="E178" s="21">
        <f>IF(B178="","",AVERAGE(B172:B178))</f>
        <v/>
      </c>
      <c r="F178" s="36">
        <f>IF(B178="","",B178-Settings!$B$4)</f>
        <v/>
      </c>
    </row>
    <row r="179">
      <c r="A179" s="35" t="n"/>
      <c r="B179" s="30" t="n"/>
      <c r="C179" s="36">
        <f>IF(OR(B179="",B178=""),"",B179-B178)</f>
        <v/>
      </c>
      <c r="D179" s="21">
        <f>IF(B179="","",B179/Settings!$B$3^2)</f>
        <v/>
      </c>
      <c r="E179" s="21">
        <f>IF(B179="","",AVERAGE(B173:B179))</f>
        <v/>
      </c>
      <c r="F179" s="36">
        <f>IF(B179="","",B179-Settings!$B$4)</f>
        <v/>
      </c>
    </row>
    <row r="180">
      <c r="A180" s="35" t="n"/>
      <c r="B180" s="30" t="n"/>
      <c r="C180" s="36">
        <f>IF(OR(B180="",B179=""),"",B180-B179)</f>
        <v/>
      </c>
      <c r="D180" s="21">
        <f>IF(B180="","",B180/Settings!$B$3^2)</f>
        <v/>
      </c>
      <c r="E180" s="21">
        <f>IF(B180="","",AVERAGE(B174:B180))</f>
        <v/>
      </c>
      <c r="F180" s="36">
        <f>IF(B180="","",B180-Settings!$B$4)</f>
        <v/>
      </c>
    </row>
    <row r="181">
      <c r="A181" s="35" t="n"/>
      <c r="B181" s="30" t="n"/>
      <c r="C181" s="36">
        <f>IF(OR(B181="",B180=""),"",B181-B180)</f>
        <v/>
      </c>
      <c r="D181" s="21">
        <f>IF(B181="","",B181/Settings!$B$3^2)</f>
        <v/>
      </c>
      <c r="E181" s="21">
        <f>IF(B181="","",AVERAGE(B175:B181))</f>
        <v/>
      </c>
      <c r="F181" s="36">
        <f>IF(B181="","",B181-Settings!$B$4)</f>
        <v/>
      </c>
    </row>
    <row r="182">
      <c r="A182" s="35" t="n"/>
      <c r="B182" s="30" t="n"/>
      <c r="C182" s="36">
        <f>IF(OR(B182="",B181=""),"",B182-B181)</f>
        <v/>
      </c>
      <c r="D182" s="21">
        <f>IF(B182="","",B182/Settings!$B$3^2)</f>
        <v/>
      </c>
      <c r="E182" s="21">
        <f>IF(B182="","",AVERAGE(B176:B182))</f>
        <v/>
      </c>
      <c r="F182" s="36">
        <f>IF(B182="","",B182-Settings!$B$4)</f>
        <v/>
      </c>
    </row>
    <row r="183">
      <c r="A183" s="35" t="n"/>
      <c r="B183" s="30" t="n"/>
      <c r="C183" s="36">
        <f>IF(OR(B183="",B182=""),"",B183-B182)</f>
        <v/>
      </c>
      <c r="D183" s="21">
        <f>IF(B183="","",B183/Settings!$B$3^2)</f>
        <v/>
      </c>
      <c r="E183" s="21">
        <f>IF(B183="","",AVERAGE(B177:B183))</f>
        <v/>
      </c>
      <c r="F183" s="36">
        <f>IF(B183="","",B183-Settings!$B$4)</f>
        <v/>
      </c>
    </row>
    <row r="184">
      <c r="A184" s="35" t="n"/>
      <c r="B184" s="30" t="n"/>
      <c r="C184" s="36">
        <f>IF(OR(B184="",B183=""),"",B184-B183)</f>
        <v/>
      </c>
      <c r="D184" s="21">
        <f>IF(B184="","",B184/Settings!$B$3^2)</f>
        <v/>
      </c>
      <c r="E184" s="21">
        <f>IF(B184="","",AVERAGE(B178:B184))</f>
        <v/>
      </c>
      <c r="F184" s="36">
        <f>IF(B184="","",B184-Settings!$B$4)</f>
        <v/>
      </c>
    </row>
    <row r="185">
      <c r="A185" s="35" t="n"/>
      <c r="B185" s="30" t="n"/>
      <c r="C185" s="36">
        <f>IF(OR(B185="",B184=""),"",B185-B184)</f>
        <v/>
      </c>
      <c r="D185" s="21">
        <f>IF(B185="","",B185/Settings!$B$3^2)</f>
        <v/>
      </c>
      <c r="E185" s="21">
        <f>IF(B185="","",AVERAGE(B179:B185))</f>
        <v/>
      </c>
      <c r="F185" s="36">
        <f>IF(B185="","",B185-Settings!$B$4)</f>
        <v/>
      </c>
    </row>
    <row r="186">
      <c r="A186" s="35" t="n"/>
      <c r="B186" s="30" t="n"/>
      <c r="C186" s="36">
        <f>IF(OR(B186="",B185=""),"",B186-B185)</f>
        <v/>
      </c>
      <c r="D186" s="21">
        <f>IF(B186="","",B186/Settings!$B$3^2)</f>
        <v/>
      </c>
      <c r="E186" s="21">
        <f>IF(B186="","",AVERAGE(B180:B186))</f>
        <v/>
      </c>
      <c r="F186" s="36">
        <f>IF(B186="","",B186-Settings!$B$4)</f>
        <v/>
      </c>
    </row>
    <row r="187">
      <c r="A187" s="35" t="n"/>
      <c r="B187" s="30" t="n"/>
      <c r="C187" s="36">
        <f>IF(OR(B187="",B186=""),"",B187-B186)</f>
        <v/>
      </c>
      <c r="D187" s="21">
        <f>IF(B187="","",B187/Settings!$B$3^2)</f>
        <v/>
      </c>
      <c r="E187" s="21">
        <f>IF(B187="","",AVERAGE(B181:B187))</f>
        <v/>
      </c>
      <c r="F187" s="36">
        <f>IF(B187="","",B187-Settings!$B$4)</f>
        <v/>
      </c>
    </row>
    <row r="188">
      <c r="A188" s="35" t="n"/>
      <c r="B188" s="30" t="n"/>
      <c r="C188" s="36">
        <f>IF(OR(B188="",B187=""),"",B188-B187)</f>
        <v/>
      </c>
      <c r="D188" s="21">
        <f>IF(B188="","",B188/Settings!$B$3^2)</f>
        <v/>
      </c>
      <c r="E188" s="21">
        <f>IF(B188="","",AVERAGE(B182:B188))</f>
        <v/>
      </c>
      <c r="F188" s="36">
        <f>IF(B188="","",B188-Settings!$B$4)</f>
        <v/>
      </c>
    </row>
    <row r="189">
      <c r="A189" s="35" t="n"/>
      <c r="B189" s="30" t="n"/>
      <c r="C189" s="36">
        <f>IF(OR(B189="",B188=""),"",B189-B188)</f>
        <v/>
      </c>
      <c r="D189" s="21">
        <f>IF(B189="","",B189/Settings!$B$3^2)</f>
        <v/>
      </c>
      <c r="E189" s="21">
        <f>IF(B189="","",AVERAGE(B183:B189))</f>
        <v/>
      </c>
      <c r="F189" s="36">
        <f>IF(B189="","",B189-Settings!$B$4)</f>
        <v/>
      </c>
    </row>
    <row r="190">
      <c r="A190" s="35" t="n"/>
      <c r="B190" s="30" t="n"/>
      <c r="C190" s="36">
        <f>IF(OR(B190="",B189=""),"",B190-B189)</f>
        <v/>
      </c>
      <c r="D190" s="21">
        <f>IF(B190="","",B190/Settings!$B$3^2)</f>
        <v/>
      </c>
      <c r="E190" s="21">
        <f>IF(B190="","",AVERAGE(B184:B190))</f>
        <v/>
      </c>
      <c r="F190" s="36">
        <f>IF(B190="","",B190-Settings!$B$4)</f>
        <v/>
      </c>
    </row>
    <row r="191">
      <c r="A191" s="35" t="n"/>
      <c r="B191" s="30" t="n"/>
      <c r="C191" s="36">
        <f>IF(OR(B191="",B190=""),"",B191-B190)</f>
        <v/>
      </c>
      <c r="D191" s="21">
        <f>IF(B191="","",B191/Settings!$B$3^2)</f>
        <v/>
      </c>
      <c r="E191" s="21">
        <f>IF(B191="","",AVERAGE(B185:B191))</f>
        <v/>
      </c>
      <c r="F191" s="36">
        <f>IF(B191="","",B191-Settings!$B$4)</f>
        <v/>
      </c>
    </row>
    <row r="192">
      <c r="A192" s="35" t="n"/>
      <c r="B192" s="30" t="n"/>
      <c r="C192" s="36">
        <f>IF(OR(B192="",B191=""),"",B192-B191)</f>
        <v/>
      </c>
      <c r="D192" s="21">
        <f>IF(B192="","",B192/Settings!$B$3^2)</f>
        <v/>
      </c>
      <c r="E192" s="21">
        <f>IF(B192="","",AVERAGE(B186:B192))</f>
        <v/>
      </c>
      <c r="F192" s="36">
        <f>IF(B192="","",B192-Settings!$B$4)</f>
        <v/>
      </c>
    </row>
    <row r="193">
      <c r="A193" s="35" t="n"/>
      <c r="B193" s="30" t="n"/>
      <c r="C193" s="36">
        <f>IF(OR(B193="",B192=""),"",B193-B192)</f>
        <v/>
      </c>
      <c r="D193" s="21">
        <f>IF(B193="","",B193/Settings!$B$3^2)</f>
        <v/>
      </c>
      <c r="E193" s="21">
        <f>IF(B193="","",AVERAGE(B187:B193))</f>
        <v/>
      </c>
      <c r="F193" s="36">
        <f>IF(B193="","",B193-Settings!$B$4)</f>
        <v/>
      </c>
    </row>
    <row r="194">
      <c r="A194" s="35" t="n"/>
      <c r="B194" s="30" t="n"/>
      <c r="C194" s="36">
        <f>IF(OR(B194="",B193=""),"",B194-B193)</f>
        <v/>
      </c>
      <c r="D194" s="21">
        <f>IF(B194="","",B194/Settings!$B$3^2)</f>
        <v/>
      </c>
      <c r="E194" s="21">
        <f>IF(B194="","",AVERAGE(B188:B194))</f>
        <v/>
      </c>
      <c r="F194" s="36">
        <f>IF(B194="","",B194-Settings!$B$4)</f>
        <v/>
      </c>
    </row>
    <row r="195">
      <c r="A195" s="35" t="n"/>
      <c r="B195" s="30" t="n"/>
      <c r="C195" s="36">
        <f>IF(OR(B195="",B194=""),"",B195-B194)</f>
        <v/>
      </c>
      <c r="D195" s="21">
        <f>IF(B195="","",B195/Settings!$B$3^2)</f>
        <v/>
      </c>
      <c r="E195" s="21">
        <f>IF(B195="","",AVERAGE(B189:B195))</f>
        <v/>
      </c>
      <c r="F195" s="36">
        <f>IF(B195="","",B195-Settings!$B$4)</f>
        <v/>
      </c>
    </row>
    <row r="196">
      <c r="A196" s="35" t="n"/>
      <c r="B196" s="30" t="n"/>
      <c r="C196" s="36">
        <f>IF(OR(B196="",B195=""),"",B196-B195)</f>
        <v/>
      </c>
      <c r="D196" s="21">
        <f>IF(B196="","",B196/Settings!$B$3^2)</f>
        <v/>
      </c>
      <c r="E196" s="21">
        <f>IF(B196="","",AVERAGE(B190:B196))</f>
        <v/>
      </c>
      <c r="F196" s="36">
        <f>IF(B196="","",B196-Settings!$B$4)</f>
        <v/>
      </c>
    </row>
    <row r="197">
      <c r="A197" s="35" t="n"/>
      <c r="B197" s="30" t="n"/>
      <c r="C197" s="36">
        <f>IF(OR(B197="",B196=""),"",B197-B196)</f>
        <v/>
      </c>
      <c r="D197" s="21">
        <f>IF(B197="","",B197/Settings!$B$3^2)</f>
        <v/>
      </c>
      <c r="E197" s="21">
        <f>IF(B197="","",AVERAGE(B191:B197))</f>
        <v/>
      </c>
      <c r="F197" s="36">
        <f>IF(B197="","",B197-Settings!$B$4)</f>
        <v/>
      </c>
    </row>
    <row r="198">
      <c r="A198" s="35" t="n"/>
      <c r="B198" s="30" t="n"/>
      <c r="C198" s="36">
        <f>IF(OR(B198="",B197=""),"",B198-B197)</f>
        <v/>
      </c>
      <c r="D198" s="21">
        <f>IF(B198="","",B198/Settings!$B$3^2)</f>
        <v/>
      </c>
      <c r="E198" s="21">
        <f>IF(B198="","",AVERAGE(B192:B198))</f>
        <v/>
      </c>
      <c r="F198" s="36">
        <f>IF(B198="","",B198-Settings!$B$4)</f>
        <v/>
      </c>
    </row>
    <row r="199">
      <c r="A199" s="35" t="n"/>
      <c r="B199" s="30" t="n"/>
      <c r="C199" s="36">
        <f>IF(OR(B199="",B198=""),"",B199-B198)</f>
        <v/>
      </c>
      <c r="D199" s="21">
        <f>IF(B199="","",B199/Settings!$B$3^2)</f>
        <v/>
      </c>
      <c r="E199" s="21">
        <f>IF(B199="","",AVERAGE(B193:B199))</f>
        <v/>
      </c>
      <c r="F199" s="36">
        <f>IF(B199="","",B199-Settings!$B$4)</f>
        <v/>
      </c>
    </row>
    <row r="200">
      <c r="A200" s="35" t="n"/>
      <c r="B200" s="30" t="n"/>
      <c r="C200" s="36">
        <f>IF(OR(B200="",B199=""),"",B200-B199)</f>
        <v/>
      </c>
      <c r="D200" s="21">
        <f>IF(B200="","",B200/Settings!$B$3^2)</f>
        <v/>
      </c>
      <c r="E200" s="21">
        <f>IF(B200="","",AVERAGE(B194:B200))</f>
        <v/>
      </c>
      <c r="F200" s="36">
        <f>IF(B200="","",B200-Settings!$B$4)</f>
        <v/>
      </c>
    </row>
    <row r="201">
      <c r="A201" s="35" t="n"/>
      <c r="B201" s="30" t="n"/>
      <c r="C201" s="36">
        <f>IF(OR(B201="",B200=""),"",B201-B200)</f>
        <v/>
      </c>
      <c r="D201" s="21">
        <f>IF(B201="","",B201/Settings!$B$3^2)</f>
        <v/>
      </c>
      <c r="E201" s="21">
        <f>IF(B201="","",AVERAGE(B195:B201))</f>
        <v/>
      </c>
      <c r="F201" s="36">
        <f>IF(B201="","",B201-Settings!$B$4)</f>
        <v/>
      </c>
    </row>
    <row r="202">
      <c r="A202" s="35" t="n"/>
      <c r="B202" s="30" t="n"/>
      <c r="C202" s="36">
        <f>IF(OR(B202="",B201=""),"",B202-B201)</f>
        <v/>
      </c>
      <c r="D202" s="21">
        <f>IF(B202="","",B202/Settings!$B$3^2)</f>
        <v/>
      </c>
      <c r="E202" s="21">
        <f>IF(B202="","",AVERAGE(B196:B202))</f>
        <v/>
      </c>
      <c r="F202" s="36">
        <f>IF(B202="","",B202-Settings!$B$4)</f>
        <v/>
      </c>
    </row>
    <row r="203">
      <c r="A203" s="35" t="n"/>
      <c r="B203" s="30" t="n"/>
      <c r="C203" s="36">
        <f>IF(OR(B203="",B202=""),"",B203-B202)</f>
        <v/>
      </c>
      <c r="D203" s="21">
        <f>IF(B203="","",B203/Settings!$B$3^2)</f>
        <v/>
      </c>
      <c r="E203" s="21">
        <f>IF(B203="","",AVERAGE(B197:B203))</f>
        <v/>
      </c>
      <c r="F203" s="36">
        <f>IF(B203="","",B203-Settings!$B$4)</f>
        <v/>
      </c>
    </row>
    <row r="204">
      <c r="A204" s="35" t="n"/>
      <c r="B204" s="30" t="n"/>
      <c r="C204" s="36">
        <f>IF(OR(B204="",B203=""),"",B204-B203)</f>
        <v/>
      </c>
      <c r="D204" s="21">
        <f>IF(B204="","",B204/Settings!$B$3^2)</f>
        <v/>
      </c>
      <c r="E204" s="21">
        <f>IF(B204="","",AVERAGE(B198:B204))</f>
        <v/>
      </c>
      <c r="F204" s="36">
        <f>IF(B204="","",B204-Settings!$B$4)</f>
        <v/>
      </c>
    </row>
    <row r="205">
      <c r="A205" s="35" t="n"/>
      <c r="B205" s="30" t="n"/>
      <c r="C205" s="36">
        <f>IF(OR(B205="",B204=""),"",B205-B204)</f>
        <v/>
      </c>
      <c r="D205" s="21">
        <f>IF(B205="","",B205/Settings!$B$3^2)</f>
        <v/>
      </c>
      <c r="E205" s="21">
        <f>IF(B205="","",AVERAGE(B199:B205))</f>
        <v/>
      </c>
      <c r="F205" s="36">
        <f>IF(B205="","",B205-Settings!$B$4)</f>
        <v/>
      </c>
    </row>
    <row r="206">
      <c r="A206" s="35" t="n"/>
      <c r="B206" s="30" t="n"/>
      <c r="C206" s="36">
        <f>IF(OR(B206="",B205=""),"",B206-B205)</f>
        <v/>
      </c>
      <c r="D206" s="21">
        <f>IF(B206="","",B206/Settings!$B$3^2)</f>
        <v/>
      </c>
      <c r="E206" s="21">
        <f>IF(B206="","",AVERAGE(B200:B206))</f>
        <v/>
      </c>
      <c r="F206" s="36">
        <f>IF(B206="","",B206-Settings!$B$4)</f>
        <v/>
      </c>
    </row>
    <row r="207">
      <c r="A207" s="35" t="n"/>
      <c r="B207" s="30" t="n"/>
      <c r="C207" s="36">
        <f>IF(OR(B207="",B206=""),"",B207-B206)</f>
        <v/>
      </c>
      <c r="D207" s="21">
        <f>IF(B207="","",B207/Settings!$B$3^2)</f>
        <v/>
      </c>
      <c r="E207" s="21">
        <f>IF(B207="","",AVERAGE(B201:B207))</f>
        <v/>
      </c>
      <c r="F207" s="36">
        <f>IF(B207="","",B207-Settings!$B$4)</f>
        <v/>
      </c>
    </row>
    <row r="208">
      <c r="A208" s="35" t="n"/>
      <c r="B208" s="30" t="n"/>
      <c r="C208" s="36">
        <f>IF(OR(B208="",B207=""),"",B208-B207)</f>
        <v/>
      </c>
      <c r="D208" s="21">
        <f>IF(B208="","",B208/Settings!$B$3^2)</f>
        <v/>
      </c>
      <c r="E208" s="21">
        <f>IF(B208="","",AVERAGE(B202:B208))</f>
        <v/>
      </c>
      <c r="F208" s="36">
        <f>IF(B208="","",B208-Settings!$B$4)</f>
        <v/>
      </c>
    </row>
    <row r="209">
      <c r="A209" s="35" t="n"/>
      <c r="B209" s="30" t="n"/>
      <c r="C209" s="36">
        <f>IF(OR(B209="",B208=""),"",B209-B208)</f>
        <v/>
      </c>
      <c r="D209" s="21">
        <f>IF(B209="","",B209/Settings!$B$3^2)</f>
        <v/>
      </c>
      <c r="E209" s="21">
        <f>IF(B209="","",AVERAGE(B203:B209))</f>
        <v/>
      </c>
      <c r="F209" s="36">
        <f>IF(B209="","",B209-Settings!$B$4)</f>
        <v/>
      </c>
    </row>
    <row r="210">
      <c r="A210" s="35" t="n"/>
      <c r="B210" s="30" t="n"/>
      <c r="C210" s="36">
        <f>IF(OR(B210="",B209=""),"",B210-B209)</f>
        <v/>
      </c>
      <c r="D210" s="21">
        <f>IF(B210="","",B210/Settings!$B$3^2)</f>
        <v/>
      </c>
      <c r="E210" s="21">
        <f>IF(B210="","",AVERAGE(B204:B210))</f>
        <v/>
      </c>
      <c r="F210" s="36">
        <f>IF(B210="","",B210-Settings!$B$4)</f>
        <v/>
      </c>
    </row>
    <row r="211">
      <c r="A211" s="35" t="n"/>
      <c r="B211" s="30" t="n"/>
      <c r="C211" s="36">
        <f>IF(OR(B211="",B210=""),"",B211-B210)</f>
        <v/>
      </c>
      <c r="D211" s="21">
        <f>IF(B211="","",B211/Settings!$B$3^2)</f>
        <v/>
      </c>
      <c r="E211" s="21">
        <f>IF(B211="","",AVERAGE(B205:B211))</f>
        <v/>
      </c>
      <c r="F211" s="36">
        <f>IF(B211="","",B211-Settings!$B$4)</f>
        <v/>
      </c>
    </row>
    <row r="212">
      <c r="A212" s="35" t="n"/>
      <c r="B212" s="30" t="n"/>
      <c r="C212" s="36">
        <f>IF(OR(B212="",B211=""),"",B212-B211)</f>
        <v/>
      </c>
      <c r="D212" s="21">
        <f>IF(B212="","",B212/Settings!$B$3^2)</f>
        <v/>
      </c>
      <c r="E212" s="21">
        <f>IF(B212="","",AVERAGE(B206:B212))</f>
        <v/>
      </c>
      <c r="F212" s="36">
        <f>IF(B212="","",B212-Settings!$B$4)</f>
        <v/>
      </c>
    </row>
    <row r="213">
      <c r="A213" s="35" t="n"/>
      <c r="B213" s="30" t="n"/>
      <c r="C213" s="36">
        <f>IF(OR(B213="",B212=""),"",B213-B212)</f>
        <v/>
      </c>
      <c r="D213" s="21">
        <f>IF(B213="","",B213/Settings!$B$3^2)</f>
        <v/>
      </c>
      <c r="E213" s="21">
        <f>IF(B213="","",AVERAGE(B207:B213))</f>
        <v/>
      </c>
      <c r="F213" s="36">
        <f>IF(B213="","",B213-Settings!$B$4)</f>
        <v/>
      </c>
    </row>
    <row r="214">
      <c r="A214" s="35" t="n"/>
      <c r="B214" s="30" t="n"/>
      <c r="C214" s="36">
        <f>IF(OR(B214="",B213=""),"",B214-B213)</f>
        <v/>
      </c>
      <c r="D214" s="21">
        <f>IF(B214="","",B214/Settings!$B$3^2)</f>
        <v/>
      </c>
      <c r="E214" s="21">
        <f>IF(B214="","",AVERAGE(B208:B214))</f>
        <v/>
      </c>
      <c r="F214" s="36">
        <f>IF(B214="","",B214-Settings!$B$4)</f>
        <v/>
      </c>
    </row>
    <row r="215">
      <c r="A215" s="35" t="n"/>
      <c r="B215" s="30" t="n"/>
      <c r="C215" s="36">
        <f>IF(OR(B215="",B214=""),"",B215-B214)</f>
        <v/>
      </c>
      <c r="D215" s="21">
        <f>IF(B215="","",B215/Settings!$B$3^2)</f>
        <v/>
      </c>
      <c r="E215" s="21">
        <f>IF(B215="","",AVERAGE(B209:B215))</f>
        <v/>
      </c>
      <c r="F215" s="36">
        <f>IF(B215="","",B215-Settings!$B$4)</f>
        <v/>
      </c>
    </row>
    <row r="216">
      <c r="A216" s="35" t="n"/>
      <c r="B216" s="30" t="n"/>
      <c r="C216" s="36">
        <f>IF(OR(B216="",B215=""),"",B216-B215)</f>
        <v/>
      </c>
      <c r="D216" s="21">
        <f>IF(B216="","",B216/Settings!$B$3^2)</f>
        <v/>
      </c>
      <c r="E216" s="21">
        <f>IF(B216="","",AVERAGE(B210:B216))</f>
        <v/>
      </c>
      <c r="F216" s="36">
        <f>IF(B216="","",B216-Settings!$B$4)</f>
        <v/>
      </c>
    </row>
    <row r="217">
      <c r="A217" s="35" t="n"/>
      <c r="B217" s="30" t="n"/>
      <c r="C217" s="36">
        <f>IF(OR(B217="",B216=""),"",B217-B216)</f>
        <v/>
      </c>
      <c r="D217" s="21">
        <f>IF(B217="","",B217/Settings!$B$3^2)</f>
        <v/>
      </c>
      <c r="E217" s="21">
        <f>IF(B217="","",AVERAGE(B211:B217))</f>
        <v/>
      </c>
      <c r="F217" s="36">
        <f>IF(B217="","",B217-Settings!$B$4)</f>
        <v/>
      </c>
    </row>
    <row r="218">
      <c r="A218" s="35" t="n"/>
      <c r="B218" s="30" t="n"/>
      <c r="C218" s="36">
        <f>IF(OR(B218="",B217=""),"",B218-B217)</f>
        <v/>
      </c>
      <c r="D218" s="21">
        <f>IF(B218="","",B218/Settings!$B$3^2)</f>
        <v/>
      </c>
      <c r="E218" s="21">
        <f>IF(B218="","",AVERAGE(B212:B218))</f>
        <v/>
      </c>
      <c r="F218" s="36">
        <f>IF(B218="","",B218-Settings!$B$4)</f>
        <v/>
      </c>
    </row>
    <row r="219">
      <c r="A219" s="35" t="n"/>
      <c r="B219" s="30" t="n"/>
      <c r="C219" s="36">
        <f>IF(OR(B219="",B218=""),"",B219-B218)</f>
        <v/>
      </c>
      <c r="D219" s="21">
        <f>IF(B219="","",B219/Settings!$B$3^2)</f>
        <v/>
      </c>
      <c r="E219" s="21">
        <f>IF(B219="","",AVERAGE(B213:B219))</f>
        <v/>
      </c>
      <c r="F219" s="36">
        <f>IF(B219="","",B219-Settings!$B$4)</f>
        <v/>
      </c>
    </row>
    <row r="220">
      <c r="A220" s="35" t="n"/>
      <c r="B220" s="30" t="n"/>
      <c r="C220" s="36">
        <f>IF(OR(B220="",B219=""),"",B220-B219)</f>
        <v/>
      </c>
      <c r="D220" s="21">
        <f>IF(B220="","",B220/Settings!$B$3^2)</f>
        <v/>
      </c>
      <c r="E220" s="21">
        <f>IF(B220="","",AVERAGE(B214:B220))</f>
        <v/>
      </c>
      <c r="F220" s="36">
        <f>IF(B220="","",B220-Settings!$B$4)</f>
        <v/>
      </c>
    </row>
    <row r="221">
      <c r="A221" s="35" t="n"/>
      <c r="B221" s="30" t="n"/>
      <c r="C221" s="36">
        <f>IF(OR(B221="",B220=""),"",B221-B220)</f>
        <v/>
      </c>
      <c r="D221" s="21">
        <f>IF(B221="","",B221/Settings!$B$3^2)</f>
        <v/>
      </c>
      <c r="E221" s="21">
        <f>IF(B221="","",AVERAGE(B215:B221))</f>
        <v/>
      </c>
      <c r="F221" s="36">
        <f>IF(B221="","",B221-Settings!$B$4)</f>
        <v/>
      </c>
    </row>
    <row r="222">
      <c r="A222" s="35" t="n"/>
      <c r="B222" s="30" t="n"/>
      <c r="C222" s="36">
        <f>IF(OR(B222="",B221=""),"",B222-B221)</f>
        <v/>
      </c>
      <c r="D222" s="21">
        <f>IF(B222="","",B222/Settings!$B$3^2)</f>
        <v/>
      </c>
      <c r="E222" s="21">
        <f>IF(B222="","",AVERAGE(B216:B222))</f>
        <v/>
      </c>
      <c r="F222" s="36">
        <f>IF(B222="","",B222-Settings!$B$4)</f>
        <v/>
      </c>
    </row>
    <row r="223">
      <c r="A223" s="35" t="n"/>
      <c r="B223" s="30" t="n"/>
      <c r="C223" s="36">
        <f>IF(OR(B223="",B222=""),"",B223-B222)</f>
        <v/>
      </c>
      <c r="D223" s="21">
        <f>IF(B223="","",B223/Settings!$B$3^2)</f>
        <v/>
      </c>
      <c r="E223" s="21">
        <f>IF(B223="","",AVERAGE(B217:B223))</f>
        <v/>
      </c>
      <c r="F223" s="36">
        <f>IF(B223="","",B223-Settings!$B$4)</f>
        <v/>
      </c>
    </row>
    <row r="224">
      <c r="A224" s="35" t="n"/>
      <c r="B224" s="30" t="n"/>
      <c r="C224" s="36">
        <f>IF(OR(B224="",B223=""),"",B224-B223)</f>
        <v/>
      </c>
      <c r="D224" s="21">
        <f>IF(B224="","",B224/Settings!$B$3^2)</f>
        <v/>
      </c>
      <c r="E224" s="21">
        <f>IF(B224="","",AVERAGE(B218:B224))</f>
        <v/>
      </c>
      <c r="F224" s="36">
        <f>IF(B224="","",B224-Settings!$B$4)</f>
        <v/>
      </c>
    </row>
    <row r="225">
      <c r="A225" s="35" t="n"/>
      <c r="B225" s="30" t="n"/>
      <c r="C225" s="36">
        <f>IF(OR(B225="",B224=""),"",B225-B224)</f>
        <v/>
      </c>
      <c r="D225" s="21">
        <f>IF(B225="","",B225/Settings!$B$3^2)</f>
        <v/>
      </c>
      <c r="E225" s="21">
        <f>IF(B225="","",AVERAGE(B219:B225))</f>
        <v/>
      </c>
      <c r="F225" s="36">
        <f>IF(B225="","",B225-Settings!$B$4)</f>
        <v/>
      </c>
    </row>
    <row r="226">
      <c r="A226" s="35" t="n"/>
      <c r="B226" s="30" t="n"/>
      <c r="C226" s="36">
        <f>IF(OR(B226="",B225=""),"",B226-B225)</f>
        <v/>
      </c>
      <c r="D226" s="21">
        <f>IF(B226="","",B226/Settings!$B$3^2)</f>
        <v/>
      </c>
      <c r="E226" s="21">
        <f>IF(B226="","",AVERAGE(B220:B226))</f>
        <v/>
      </c>
      <c r="F226" s="36">
        <f>IF(B226="","",B226-Settings!$B$4)</f>
        <v/>
      </c>
    </row>
    <row r="227">
      <c r="A227" s="35" t="n"/>
      <c r="B227" s="30" t="n"/>
      <c r="C227" s="36">
        <f>IF(OR(B227="",B226=""),"",B227-B226)</f>
        <v/>
      </c>
      <c r="D227" s="21">
        <f>IF(B227="","",B227/Settings!$B$3^2)</f>
        <v/>
      </c>
      <c r="E227" s="21">
        <f>IF(B227="","",AVERAGE(B221:B227))</f>
        <v/>
      </c>
      <c r="F227" s="36">
        <f>IF(B227="","",B227-Settings!$B$4)</f>
        <v/>
      </c>
    </row>
    <row r="228">
      <c r="A228" s="35" t="n"/>
      <c r="B228" s="30" t="n"/>
      <c r="C228" s="36">
        <f>IF(OR(B228="",B227=""),"",B228-B227)</f>
        <v/>
      </c>
      <c r="D228" s="21">
        <f>IF(B228="","",B228/Settings!$B$3^2)</f>
        <v/>
      </c>
      <c r="E228" s="21">
        <f>IF(B228="","",AVERAGE(B222:B228))</f>
        <v/>
      </c>
      <c r="F228" s="36">
        <f>IF(B228="","",B228-Settings!$B$4)</f>
        <v/>
      </c>
    </row>
    <row r="229">
      <c r="A229" s="35" t="n"/>
      <c r="B229" s="30" t="n"/>
      <c r="C229" s="36">
        <f>IF(OR(B229="",B228=""),"",B229-B228)</f>
        <v/>
      </c>
      <c r="D229" s="21">
        <f>IF(B229="","",B229/Settings!$B$3^2)</f>
        <v/>
      </c>
      <c r="E229" s="21">
        <f>IF(B229="","",AVERAGE(B223:B229))</f>
        <v/>
      </c>
      <c r="F229" s="36">
        <f>IF(B229="","",B229-Settings!$B$4)</f>
        <v/>
      </c>
    </row>
    <row r="230">
      <c r="A230" s="35" t="n"/>
      <c r="B230" s="30" t="n"/>
      <c r="C230" s="36">
        <f>IF(OR(B230="",B229=""),"",B230-B229)</f>
        <v/>
      </c>
      <c r="D230" s="21">
        <f>IF(B230="","",B230/Settings!$B$3^2)</f>
        <v/>
      </c>
      <c r="E230" s="21">
        <f>IF(B230="","",AVERAGE(B224:B230))</f>
        <v/>
      </c>
      <c r="F230" s="36">
        <f>IF(B230="","",B230-Settings!$B$4)</f>
        <v/>
      </c>
    </row>
    <row r="231">
      <c r="A231" s="35" t="n"/>
      <c r="B231" s="30" t="n"/>
      <c r="C231" s="36">
        <f>IF(OR(B231="",B230=""),"",B231-B230)</f>
        <v/>
      </c>
      <c r="D231" s="21">
        <f>IF(B231="","",B231/Settings!$B$3^2)</f>
        <v/>
      </c>
      <c r="E231" s="21">
        <f>IF(B231="","",AVERAGE(B225:B231))</f>
        <v/>
      </c>
      <c r="F231" s="36">
        <f>IF(B231="","",B231-Settings!$B$4)</f>
        <v/>
      </c>
    </row>
    <row r="232">
      <c r="A232" s="35" t="n"/>
      <c r="B232" s="30" t="n"/>
      <c r="C232" s="36">
        <f>IF(OR(B232="",B231=""),"",B232-B231)</f>
        <v/>
      </c>
      <c r="D232" s="21">
        <f>IF(B232="","",B232/Settings!$B$3^2)</f>
        <v/>
      </c>
      <c r="E232" s="21">
        <f>IF(B232="","",AVERAGE(B226:B232))</f>
        <v/>
      </c>
      <c r="F232" s="36">
        <f>IF(B232="","",B232-Settings!$B$4)</f>
        <v/>
      </c>
    </row>
    <row r="233">
      <c r="A233" s="35" t="n"/>
      <c r="B233" s="30" t="n"/>
      <c r="C233" s="36">
        <f>IF(OR(B233="",B232=""),"",B233-B232)</f>
        <v/>
      </c>
      <c r="D233" s="21">
        <f>IF(B233="","",B233/Settings!$B$3^2)</f>
        <v/>
      </c>
      <c r="E233" s="21">
        <f>IF(B233="","",AVERAGE(B227:B233))</f>
        <v/>
      </c>
      <c r="F233" s="36">
        <f>IF(B233="","",B233-Settings!$B$4)</f>
        <v/>
      </c>
    </row>
    <row r="234">
      <c r="A234" s="35" t="n"/>
      <c r="B234" s="30" t="n"/>
      <c r="C234" s="36">
        <f>IF(OR(B234="",B233=""),"",B234-B233)</f>
        <v/>
      </c>
      <c r="D234" s="21">
        <f>IF(B234="","",B234/Settings!$B$3^2)</f>
        <v/>
      </c>
      <c r="E234" s="21">
        <f>IF(B234="","",AVERAGE(B228:B234))</f>
        <v/>
      </c>
      <c r="F234" s="36">
        <f>IF(B234="","",B234-Settings!$B$4)</f>
        <v/>
      </c>
    </row>
    <row r="235">
      <c r="A235" s="35" t="n"/>
      <c r="B235" s="30" t="n"/>
      <c r="C235" s="36">
        <f>IF(OR(B235="",B234=""),"",B235-B234)</f>
        <v/>
      </c>
      <c r="D235" s="21">
        <f>IF(B235="","",B235/Settings!$B$3^2)</f>
        <v/>
      </c>
      <c r="E235" s="21">
        <f>IF(B235="","",AVERAGE(B229:B235))</f>
        <v/>
      </c>
      <c r="F235" s="36">
        <f>IF(B235="","",B235-Settings!$B$4)</f>
        <v/>
      </c>
    </row>
    <row r="236">
      <c r="A236" s="35" t="n"/>
      <c r="B236" s="30" t="n"/>
      <c r="C236" s="36">
        <f>IF(OR(B236="",B235=""),"",B236-B235)</f>
        <v/>
      </c>
      <c r="D236" s="21">
        <f>IF(B236="","",B236/Settings!$B$3^2)</f>
        <v/>
      </c>
      <c r="E236" s="21">
        <f>IF(B236="","",AVERAGE(B230:B236))</f>
        <v/>
      </c>
      <c r="F236" s="36">
        <f>IF(B236="","",B236-Settings!$B$4)</f>
        <v/>
      </c>
    </row>
    <row r="237">
      <c r="A237" s="35" t="n"/>
      <c r="B237" s="30" t="n"/>
      <c r="C237" s="36">
        <f>IF(OR(B237="",B236=""),"",B237-B236)</f>
        <v/>
      </c>
      <c r="D237" s="21">
        <f>IF(B237="","",B237/Settings!$B$3^2)</f>
        <v/>
      </c>
      <c r="E237" s="21">
        <f>IF(B237="","",AVERAGE(B231:B237))</f>
        <v/>
      </c>
      <c r="F237" s="36">
        <f>IF(B237="","",B237-Settings!$B$4)</f>
        <v/>
      </c>
    </row>
    <row r="238">
      <c r="A238" s="35" t="n"/>
      <c r="B238" s="30" t="n"/>
      <c r="C238" s="36">
        <f>IF(OR(B238="",B237=""),"",B238-B237)</f>
        <v/>
      </c>
      <c r="D238" s="21">
        <f>IF(B238="","",B238/Settings!$B$3^2)</f>
        <v/>
      </c>
      <c r="E238" s="21">
        <f>IF(B238="","",AVERAGE(B232:B238))</f>
        <v/>
      </c>
      <c r="F238" s="36">
        <f>IF(B238="","",B238-Settings!$B$4)</f>
        <v/>
      </c>
    </row>
    <row r="239">
      <c r="A239" s="35" t="n"/>
      <c r="B239" s="30" t="n"/>
      <c r="C239" s="36">
        <f>IF(OR(B239="",B238=""),"",B239-B238)</f>
        <v/>
      </c>
      <c r="D239" s="21">
        <f>IF(B239="","",B239/Settings!$B$3^2)</f>
        <v/>
      </c>
      <c r="E239" s="21">
        <f>IF(B239="","",AVERAGE(B233:B239))</f>
        <v/>
      </c>
      <c r="F239" s="36">
        <f>IF(B239="","",B239-Settings!$B$4)</f>
        <v/>
      </c>
    </row>
    <row r="240">
      <c r="A240" s="35" t="n"/>
      <c r="B240" s="30" t="n"/>
      <c r="C240" s="36">
        <f>IF(OR(B240="",B239=""),"",B240-B239)</f>
        <v/>
      </c>
      <c r="D240" s="21">
        <f>IF(B240="","",B240/Settings!$B$3^2)</f>
        <v/>
      </c>
      <c r="E240" s="21">
        <f>IF(B240="","",AVERAGE(B234:B240))</f>
        <v/>
      </c>
      <c r="F240" s="36">
        <f>IF(B240="","",B240-Settings!$B$4)</f>
        <v/>
      </c>
    </row>
    <row r="241">
      <c r="A241" s="35" t="n"/>
      <c r="B241" s="30" t="n"/>
      <c r="C241" s="36">
        <f>IF(OR(B241="",B240=""),"",B241-B240)</f>
        <v/>
      </c>
      <c r="D241" s="21">
        <f>IF(B241="","",B241/Settings!$B$3^2)</f>
        <v/>
      </c>
      <c r="E241" s="21">
        <f>IF(B241="","",AVERAGE(B235:B241))</f>
        <v/>
      </c>
      <c r="F241" s="36">
        <f>IF(B241="","",B241-Settings!$B$4)</f>
        <v/>
      </c>
    </row>
    <row r="242">
      <c r="A242" s="35" t="n"/>
      <c r="B242" s="30" t="n"/>
      <c r="C242" s="36">
        <f>IF(OR(B242="",B241=""),"",B242-B241)</f>
        <v/>
      </c>
      <c r="D242" s="21">
        <f>IF(B242="","",B242/Settings!$B$3^2)</f>
        <v/>
      </c>
      <c r="E242" s="21">
        <f>IF(B242="","",AVERAGE(B236:B242))</f>
        <v/>
      </c>
      <c r="F242" s="36">
        <f>IF(B242="","",B242-Settings!$B$4)</f>
        <v/>
      </c>
    </row>
    <row r="243">
      <c r="A243" s="35" t="n"/>
      <c r="B243" s="30" t="n"/>
      <c r="C243" s="36">
        <f>IF(OR(B243="",B242=""),"",B243-B242)</f>
        <v/>
      </c>
      <c r="D243" s="21">
        <f>IF(B243="","",B243/Settings!$B$3^2)</f>
        <v/>
      </c>
      <c r="E243" s="21">
        <f>IF(B243="","",AVERAGE(B237:B243))</f>
        <v/>
      </c>
      <c r="F243" s="36">
        <f>IF(B243="","",B243-Settings!$B$4)</f>
        <v/>
      </c>
    </row>
    <row r="244">
      <c r="A244" s="35" t="n"/>
      <c r="B244" s="30" t="n"/>
      <c r="C244" s="36">
        <f>IF(OR(B244="",B243=""),"",B244-B243)</f>
        <v/>
      </c>
      <c r="D244" s="21">
        <f>IF(B244="","",B244/Settings!$B$3^2)</f>
        <v/>
      </c>
      <c r="E244" s="21">
        <f>IF(B244="","",AVERAGE(B238:B244))</f>
        <v/>
      </c>
      <c r="F244" s="36">
        <f>IF(B244="","",B244-Settings!$B$4)</f>
        <v/>
      </c>
    </row>
    <row r="245">
      <c r="A245" s="35" t="n"/>
      <c r="B245" s="30" t="n"/>
      <c r="C245" s="36">
        <f>IF(OR(B245="",B244=""),"",B245-B244)</f>
        <v/>
      </c>
      <c r="D245" s="21">
        <f>IF(B245="","",B245/Settings!$B$3^2)</f>
        <v/>
      </c>
      <c r="E245" s="21">
        <f>IF(B245="","",AVERAGE(B239:B245))</f>
        <v/>
      </c>
      <c r="F245" s="36">
        <f>IF(B245="","",B245-Settings!$B$4)</f>
        <v/>
      </c>
    </row>
    <row r="246">
      <c r="A246" s="35" t="n"/>
      <c r="B246" s="30" t="n"/>
      <c r="C246" s="36">
        <f>IF(OR(B246="",B245=""),"",B246-B245)</f>
        <v/>
      </c>
      <c r="D246" s="21">
        <f>IF(B246="","",B246/Settings!$B$3^2)</f>
        <v/>
      </c>
      <c r="E246" s="21">
        <f>IF(B246="","",AVERAGE(B240:B246))</f>
        <v/>
      </c>
      <c r="F246" s="36">
        <f>IF(B246="","",B246-Settings!$B$4)</f>
        <v/>
      </c>
    </row>
    <row r="247">
      <c r="A247" s="35" t="n"/>
      <c r="B247" s="30" t="n"/>
      <c r="C247" s="36">
        <f>IF(OR(B247="",B246=""),"",B247-B246)</f>
        <v/>
      </c>
      <c r="D247" s="21">
        <f>IF(B247="","",B247/Settings!$B$3^2)</f>
        <v/>
      </c>
      <c r="E247" s="21">
        <f>IF(B247="","",AVERAGE(B241:B247))</f>
        <v/>
      </c>
      <c r="F247" s="36">
        <f>IF(B247="","",B247-Settings!$B$4)</f>
        <v/>
      </c>
    </row>
    <row r="248">
      <c r="A248" s="35" t="n"/>
      <c r="B248" s="30" t="n"/>
      <c r="C248" s="36">
        <f>IF(OR(B248="",B247=""),"",B248-B247)</f>
        <v/>
      </c>
      <c r="D248" s="21">
        <f>IF(B248="","",B248/Settings!$B$3^2)</f>
        <v/>
      </c>
      <c r="E248" s="21">
        <f>IF(B248="","",AVERAGE(B242:B248))</f>
        <v/>
      </c>
      <c r="F248" s="36">
        <f>IF(B248="","",B248-Settings!$B$4)</f>
        <v/>
      </c>
    </row>
    <row r="249">
      <c r="A249" s="35" t="n"/>
      <c r="B249" s="30" t="n"/>
      <c r="C249" s="36">
        <f>IF(OR(B249="",B248=""),"",B249-B248)</f>
        <v/>
      </c>
      <c r="D249" s="21">
        <f>IF(B249="","",B249/Settings!$B$3^2)</f>
        <v/>
      </c>
      <c r="E249" s="21">
        <f>IF(B249="","",AVERAGE(B243:B249))</f>
        <v/>
      </c>
      <c r="F249" s="36">
        <f>IF(B249="","",B249-Settings!$B$4)</f>
        <v/>
      </c>
    </row>
    <row r="250">
      <c r="A250" s="35" t="n"/>
      <c r="B250" s="30" t="n"/>
      <c r="C250" s="36">
        <f>IF(OR(B250="",B249=""),"",B250-B249)</f>
        <v/>
      </c>
      <c r="D250" s="21">
        <f>IF(B250="","",B250/Settings!$B$3^2)</f>
        <v/>
      </c>
      <c r="E250" s="21">
        <f>IF(B250="","",AVERAGE(B244:B250))</f>
        <v/>
      </c>
      <c r="F250" s="36">
        <f>IF(B250="","",B250-Settings!$B$4)</f>
        <v/>
      </c>
    </row>
    <row r="251">
      <c r="A251" s="35" t="n"/>
      <c r="B251" s="30" t="n"/>
      <c r="C251" s="36">
        <f>IF(OR(B251="",B250=""),"",B251-B250)</f>
        <v/>
      </c>
      <c r="D251" s="21">
        <f>IF(B251="","",B251/Settings!$B$3^2)</f>
        <v/>
      </c>
      <c r="E251" s="21">
        <f>IF(B251="","",AVERAGE(B245:B251))</f>
        <v/>
      </c>
      <c r="F251" s="36">
        <f>IF(B251="","",B251-Settings!$B$4)</f>
        <v/>
      </c>
    </row>
    <row r="252">
      <c r="A252" s="35" t="n"/>
      <c r="B252" s="30" t="n"/>
      <c r="C252" s="36">
        <f>IF(OR(B252="",B251=""),"",B252-B251)</f>
        <v/>
      </c>
      <c r="D252" s="21">
        <f>IF(B252="","",B252/Settings!$B$3^2)</f>
        <v/>
      </c>
      <c r="E252" s="21">
        <f>IF(B252="","",AVERAGE(B246:B252))</f>
        <v/>
      </c>
      <c r="F252" s="36">
        <f>IF(B252="","",B252-Settings!$B$4)</f>
        <v/>
      </c>
    </row>
    <row r="253">
      <c r="A253" s="35" t="n"/>
      <c r="B253" s="30" t="n"/>
      <c r="C253" s="36">
        <f>IF(OR(B253="",B252=""),"",B253-B252)</f>
        <v/>
      </c>
      <c r="D253" s="21">
        <f>IF(B253="","",B253/Settings!$B$3^2)</f>
        <v/>
      </c>
      <c r="E253" s="21">
        <f>IF(B253="","",AVERAGE(B247:B253))</f>
        <v/>
      </c>
      <c r="F253" s="36">
        <f>IF(B253="","",B253-Settings!$B$4)</f>
        <v/>
      </c>
    </row>
    <row r="254">
      <c r="A254" s="35" t="n"/>
      <c r="B254" s="30" t="n"/>
      <c r="C254" s="36">
        <f>IF(OR(B254="",B253=""),"",B254-B253)</f>
        <v/>
      </c>
      <c r="D254" s="21">
        <f>IF(B254="","",B254/Settings!$B$3^2)</f>
        <v/>
      </c>
      <c r="E254" s="21">
        <f>IF(B254="","",AVERAGE(B248:B254))</f>
        <v/>
      </c>
      <c r="F254" s="36">
        <f>IF(B254="","",B254-Settings!$B$4)</f>
        <v/>
      </c>
    </row>
    <row r="255">
      <c r="A255" s="35" t="n"/>
      <c r="B255" s="30" t="n"/>
      <c r="C255" s="36">
        <f>IF(OR(B255="",B254=""),"",B255-B254)</f>
        <v/>
      </c>
      <c r="D255" s="21">
        <f>IF(B255="","",B255/Settings!$B$3^2)</f>
        <v/>
      </c>
      <c r="E255" s="21">
        <f>IF(B255="","",AVERAGE(B249:B255))</f>
        <v/>
      </c>
      <c r="F255" s="36">
        <f>IF(B255="","",B255-Settings!$B$4)</f>
        <v/>
      </c>
    </row>
    <row r="256">
      <c r="A256" s="35" t="n"/>
      <c r="B256" s="30" t="n"/>
      <c r="C256" s="36">
        <f>IF(OR(B256="",B255=""),"",B256-B255)</f>
        <v/>
      </c>
      <c r="D256" s="21">
        <f>IF(B256="","",B256/Settings!$B$3^2)</f>
        <v/>
      </c>
      <c r="E256" s="21">
        <f>IF(B256="","",AVERAGE(B250:B256))</f>
        <v/>
      </c>
      <c r="F256" s="36">
        <f>IF(B256="","",B256-Settings!$B$4)</f>
        <v/>
      </c>
    </row>
    <row r="257">
      <c r="A257" s="35" t="n"/>
      <c r="B257" s="30" t="n"/>
      <c r="C257" s="36">
        <f>IF(OR(B257="",B256=""),"",B257-B256)</f>
        <v/>
      </c>
      <c r="D257" s="21">
        <f>IF(B257="","",B257/Settings!$B$3^2)</f>
        <v/>
      </c>
      <c r="E257" s="21">
        <f>IF(B257="","",AVERAGE(B251:B257))</f>
        <v/>
      </c>
      <c r="F257" s="36">
        <f>IF(B257="","",B257-Settings!$B$4)</f>
        <v/>
      </c>
    </row>
    <row r="258">
      <c r="A258" s="35" t="n"/>
      <c r="B258" s="30" t="n"/>
      <c r="C258" s="36">
        <f>IF(OR(B258="",B257=""),"",B258-B257)</f>
        <v/>
      </c>
      <c r="D258" s="21">
        <f>IF(B258="","",B258/Settings!$B$3^2)</f>
        <v/>
      </c>
      <c r="E258" s="21">
        <f>IF(B258="","",AVERAGE(B252:B258))</f>
        <v/>
      </c>
      <c r="F258" s="36">
        <f>IF(B258="","",B258-Settings!$B$4)</f>
        <v/>
      </c>
    </row>
    <row r="259">
      <c r="A259" s="35" t="n"/>
      <c r="B259" s="30" t="n"/>
      <c r="C259" s="36">
        <f>IF(OR(B259="",B258=""),"",B259-B258)</f>
        <v/>
      </c>
      <c r="D259" s="21">
        <f>IF(B259="","",B259/Settings!$B$3^2)</f>
        <v/>
      </c>
      <c r="E259" s="21">
        <f>IF(B259="","",AVERAGE(B253:B259))</f>
        <v/>
      </c>
      <c r="F259" s="36">
        <f>IF(B259="","",B259-Settings!$B$4)</f>
        <v/>
      </c>
    </row>
    <row r="260">
      <c r="A260" s="35" t="n"/>
      <c r="B260" s="30" t="n"/>
      <c r="C260" s="36">
        <f>IF(OR(B260="",B259=""),"",B260-B259)</f>
        <v/>
      </c>
      <c r="D260" s="21">
        <f>IF(B260="","",B260/Settings!$B$3^2)</f>
        <v/>
      </c>
      <c r="E260" s="21">
        <f>IF(B260="","",AVERAGE(B254:B260))</f>
        <v/>
      </c>
      <c r="F260" s="36">
        <f>IF(B260="","",B260-Settings!$B$4)</f>
        <v/>
      </c>
    </row>
    <row r="261">
      <c r="A261" s="35" t="n"/>
      <c r="B261" s="30" t="n"/>
      <c r="C261" s="36">
        <f>IF(OR(B261="",B260=""),"",B261-B260)</f>
        <v/>
      </c>
      <c r="D261" s="21">
        <f>IF(B261="","",B261/Settings!$B$3^2)</f>
        <v/>
      </c>
      <c r="E261" s="21">
        <f>IF(B261="","",AVERAGE(B255:B261))</f>
        <v/>
      </c>
      <c r="F261" s="36">
        <f>IF(B261="","",B261-Settings!$B$4)</f>
        <v/>
      </c>
    </row>
    <row r="262">
      <c r="A262" s="35" t="n"/>
      <c r="B262" s="30" t="n"/>
      <c r="C262" s="36">
        <f>IF(OR(B262="",B261=""),"",B262-B261)</f>
        <v/>
      </c>
      <c r="D262" s="21">
        <f>IF(B262="","",B262/Settings!$B$3^2)</f>
        <v/>
      </c>
      <c r="E262" s="21">
        <f>IF(B262="","",AVERAGE(B256:B262))</f>
        <v/>
      </c>
      <c r="F262" s="36">
        <f>IF(B262="","",B262-Settings!$B$4)</f>
        <v/>
      </c>
    </row>
    <row r="263">
      <c r="A263" s="35" t="n"/>
      <c r="B263" s="30" t="n"/>
      <c r="C263" s="36">
        <f>IF(OR(B263="",B262=""),"",B263-B262)</f>
        <v/>
      </c>
      <c r="D263" s="21">
        <f>IF(B263="","",B263/Settings!$B$3^2)</f>
        <v/>
      </c>
      <c r="E263" s="21">
        <f>IF(B263="","",AVERAGE(B257:B263))</f>
        <v/>
      </c>
      <c r="F263" s="36">
        <f>IF(B263="","",B263-Settings!$B$4)</f>
        <v/>
      </c>
    </row>
    <row r="264">
      <c r="A264" s="35" t="n"/>
      <c r="B264" s="30" t="n"/>
      <c r="C264" s="36">
        <f>IF(OR(B264="",B263=""),"",B264-B263)</f>
        <v/>
      </c>
      <c r="D264" s="21">
        <f>IF(B264="","",B264/Settings!$B$3^2)</f>
        <v/>
      </c>
      <c r="E264" s="21">
        <f>IF(B264="","",AVERAGE(B258:B264))</f>
        <v/>
      </c>
      <c r="F264" s="36">
        <f>IF(B264="","",B264-Settings!$B$4)</f>
        <v/>
      </c>
    </row>
    <row r="265">
      <c r="A265" s="35" t="n"/>
      <c r="B265" s="30" t="n"/>
      <c r="C265" s="36">
        <f>IF(OR(B265="",B264=""),"",B265-B264)</f>
        <v/>
      </c>
      <c r="D265" s="21">
        <f>IF(B265="","",B265/Settings!$B$3^2)</f>
        <v/>
      </c>
      <c r="E265" s="21">
        <f>IF(B265="","",AVERAGE(B259:B265))</f>
        <v/>
      </c>
      <c r="F265" s="36">
        <f>IF(B265="","",B265-Settings!$B$4)</f>
        <v/>
      </c>
    </row>
    <row r="266">
      <c r="A266" s="35" t="n"/>
      <c r="B266" s="30" t="n"/>
      <c r="C266" s="36">
        <f>IF(OR(B266="",B265=""),"",B266-B265)</f>
        <v/>
      </c>
      <c r="D266" s="21">
        <f>IF(B266="","",B266/Settings!$B$3^2)</f>
        <v/>
      </c>
      <c r="E266" s="21">
        <f>IF(B266="","",AVERAGE(B260:B266))</f>
        <v/>
      </c>
      <c r="F266" s="36">
        <f>IF(B266="","",B266-Settings!$B$4)</f>
        <v/>
      </c>
    </row>
    <row r="267">
      <c r="A267" s="35" t="n"/>
      <c r="B267" s="30" t="n"/>
      <c r="C267" s="36">
        <f>IF(OR(B267="",B266=""),"",B267-B266)</f>
        <v/>
      </c>
      <c r="D267" s="21">
        <f>IF(B267="","",B267/Settings!$B$3^2)</f>
        <v/>
      </c>
      <c r="E267" s="21">
        <f>IF(B267="","",AVERAGE(B261:B267))</f>
        <v/>
      </c>
      <c r="F267" s="36">
        <f>IF(B267="","",B267-Settings!$B$4)</f>
        <v/>
      </c>
    </row>
    <row r="268">
      <c r="A268" s="35" t="n"/>
      <c r="B268" s="30" t="n"/>
      <c r="C268" s="36">
        <f>IF(OR(B268="",B267=""),"",B268-B267)</f>
        <v/>
      </c>
      <c r="D268" s="21">
        <f>IF(B268="","",B268/Settings!$B$3^2)</f>
        <v/>
      </c>
      <c r="E268" s="21">
        <f>IF(B268="","",AVERAGE(B262:B268))</f>
        <v/>
      </c>
      <c r="F268" s="36">
        <f>IF(B268="","",B268-Settings!$B$4)</f>
        <v/>
      </c>
    </row>
    <row r="269">
      <c r="A269" s="35" t="n"/>
      <c r="B269" s="30" t="n"/>
      <c r="C269" s="36">
        <f>IF(OR(B269="",B268=""),"",B269-B268)</f>
        <v/>
      </c>
      <c r="D269" s="21">
        <f>IF(B269="","",B269/Settings!$B$3^2)</f>
        <v/>
      </c>
      <c r="E269" s="21">
        <f>IF(B269="","",AVERAGE(B263:B269))</f>
        <v/>
      </c>
      <c r="F269" s="36">
        <f>IF(B269="","",B269-Settings!$B$4)</f>
        <v/>
      </c>
    </row>
    <row r="270">
      <c r="A270" s="35" t="n"/>
      <c r="B270" s="30" t="n"/>
      <c r="C270" s="36">
        <f>IF(OR(B270="",B269=""),"",B270-B269)</f>
        <v/>
      </c>
      <c r="D270" s="21">
        <f>IF(B270="","",B270/Settings!$B$3^2)</f>
        <v/>
      </c>
      <c r="E270" s="21">
        <f>IF(B270="","",AVERAGE(B264:B270))</f>
        <v/>
      </c>
      <c r="F270" s="36">
        <f>IF(B270="","",B270-Settings!$B$4)</f>
        <v/>
      </c>
    </row>
    <row r="271">
      <c r="A271" s="35" t="n"/>
      <c r="B271" s="30" t="n"/>
      <c r="C271" s="36">
        <f>IF(OR(B271="",B270=""),"",B271-B270)</f>
        <v/>
      </c>
      <c r="D271" s="21">
        <f>IF(B271="","",B271/Settings!$B$3^2)</f>
        <v/>
      </c>
      <c r="E271" s="21">
        <f>IF(B271="","",AVERAGE(B265:B271))</f>
        <v/>
      </c>
      <c r="F271" s="36">
        <f>IF(B271="","",B271-Settings!$B$4)</f>
        <v/>
      </c>
    </row>
    <row r="272">
      <c r="A272" s="35" t="n"/>
      <c r="B272" s="30" t="n"/>
      <c r="C272" s="36">
        <f>IF(OR(B272="",B271=""),"",B272-B271)</f>
        <v/>
      </c>
      <c r="D272" s="21">
        <f>IF(B272="","",B272/Settings!$B$3^2)</f>
        <v/>
      </c>
      <c r="E272" s="21">
        <f>IF(B272="","",AVERAGE(B266:B272))</f>
        <v/>
      </c>
      <c r="F272" s="36">
        <f>IF(B272="","",B272-Settings!$B$4)</f>
        <v/>
      </c>
    </row>
    <row r="273">
      <c r="A273" s="35" t="n"/>
      <c r="B273" s="30" t="n"/>
      <c r="C273" s="36">
        <f>IF(OR(B273="",B272=""),"",B273-B272)</f>
        <v/>
      </c>
      <c r="D273" s="21">
        <f>IF(B273="","",B273/Settings!$B$3^2)</f>
        <v/>
      </c>
      <c r="E273" s="21">
        <f>IF(B273="","",AVERAGE(B267:B273))</f>
        <v/>
      </c>
      <c r="F273" s="36">
        <f>IF(B273="","",B273-Settings!$B$4)</f>
        <v/>
      </c>
    </row>
    <row r="274">
      <c r="A274" s="35" t="n"/>
      <c r="B274" s="30" t="n"/>
      <c r="C274" s="36">
        <f>IF(OR(B274="",B273=""),"",B274-B273)</f>
        <v/>
      </c>
      <c r="D274" s="21">
        <f>IF(B274="","",B274/Settings!$B$3^2)</f>
        <v/>
      </c>
      <c r="E274" s="21">
        <f>IF(B274="","",AVERAGE(B268:B274))</f>
        <v/>
      </c>
      <c r="F274" s="36">
        <f>IF(B274="","",B274-Settings!$B$4)</f>
        <v/>
      </c>
    </row>
    <row r="275">
      <c r="A275" s="35" t="n"/>
      <c r="B275" s="30" t="n"/>
      <c r="C275" s="36">
        <f>IF(OR(B275="",B274=""),"",B275-B274)</f>
        <v/>
      </c>
      <c r="D275" s="21">
        <f>IF(B275="","",B275/Settings!$B$3^2)</f>
        <v/>
      </c>
      <c r="E275" s="21">
        <f>IF(B275="","",AVERAGE(B269:B275))</f>
        <v/>
      </c>
      <c r="F275" s="36">
        <f>IF(B275="","",B275-Settings!$B$4)</f>
        <v/>
      </c>
    </row>
    <row r="276">
      <c r="A276" s="35" t="n"/>
      <c r="B276" s="30" t="n"/>
      <c r="C276" s="36">
        <f>IF(OR(B276="",B275=""),"",B276-B275)</f>
        <v/>
      </c>
      <c r="D276" s="21">
        <f>IF(B276="","",B276/Settings!$B$3^2)</f>
        <v/>
      </c>
      <c r="E276" s="21">
        <f>IF(B276="","",AVERAGE(B270:B276))</f>
        <v/>
      </c>
      <c r="F276" s="36">
        <f>IF(B276="","",B276-Settings!$B$4)</f>
        <v/>
      </c>
    </row>
    <row r="277">
      <c r="A277" s="35" t="n"/>
      <c r="B277" s="30" t="n"/>
      <c r="C277" s="36">
        <f>IF(OR(B277="",B276=""),"",B277-B276)</f>
        <v/>
      </c>
      <c r="D277" s="21">
        <f>IF(B277="","",B277/Settings!$B$3^2)</f>
        <v/>
      </c>
      <c r="E277" s="21">
        <f>IF(B277="","",AVERAGE(B271:B277))</f>
        <v/>
      </c>
      <c r="F277" s="36">
        <f>IF(B277="","",B277-Settings!$B$4)</f>
        <v/>
      </c>
    </row>
    <row r="278">
      <c r="A278" s="35" t="n"/>
      <c r="B278" s="30" t="n"/>
      <c r="C278" s="36">
        <f>IF(OR(B278="",B277=""),"",B278-B277)</f>
        <v/>
      </c>
      <c r="D278" s="21">
        <f>IF(B278="","",B278/Settings!$B$3^2)</f>
        <v/>
      </c>
      <c r="E278" s="21">
        <f>IF(B278="","",AVERAGE(B272:B278))</f>
        <v/>
      </c>
      <c r="F278" s="36">
        <f>IF(B278="","",B278-Settings!$B$4)</f>
        <v/>
      </c>
    </row>
    <row r="279">
      <c r="A279" s="35" t="n"/>
      <c r="B279" s="30" t="n"/>
      <c r="C279" s="36">
        <f>IF(OR(B279="",B278=""),"",B279-B278)</f>
        <v/>
      </c>
      <c r="D279" s="21">
        <f>IF(B279="","",B279/Settings!$B$3^2)</f>
        <v/>
      </c>
      <c r="E279" s="21">
        <f>IF(B279="","",AVERAGE(B273:B279))</f>
        <v/>
      </c>
      <c r="F279" s="36">
        <f>IF(B279="","",B279-Settings!$B$4)</f>
        <v/>
      </c>
    </row>
    <row r="280">
      <c r="A280" s="35" t="n"/>
      <c r="B280" s="30" t="n"/>
      <c r="C280" s="36">
        <f>IF(OR(B280="",B279=""),"",B280-B279)</f>
        <v/>
      </c>
      <c r="D280" s="21">
        <f>IF(B280="","",B280/Settings!$B$3^2)</f>
        <v/>
      </c>
      <c r="E280" s="21">
        <f>IF(B280="","",AVERAGE(B274:B280))</f>
        <v/>
      </c>
      <c r="F280" s="36">
        <f>IF(B280="","",B280-Settings!$B$4)</f>
        <v/>
      </c>
    </row>
    <row r="281">
      <c r="A281" s="35" t="n"/>
      <c r="B281" s="30" t="n"/>
      <c r="C281" s="36">
        <f>IF(OR(B281="",B280=""),"",B281-B280)</f>
        <v/>
      </c>
      <c r="D281" s="21">
        <f>IF(B281="","",B281/Settings!$B$3^2)</f>
        <v/>
      </c>
      <c r="E281" s="21">
        <f>IF(B281="","",AVERAGE(B275:B281))</f>
        <v/>
      </c>
      <c r="F281" s="36">
        <f>IF(B281="","",B281-Settings!$B$4)</f>
        <v/>
      </c>
    </row>
    <row r="282">
      <c r="A282" s="35" t="n"/>
      <c r="B282" s="30" t="n"/>
      <c r="C282" s="36">
        <f>IF(OR(B282="",B281=""),"",B282-B281)</f>
        <v/>
      </c>
      <c r="D282" s="21">
        <f>IF(B282="","",B282/Settings!$B$3^2)</f>
        <v/>
      </c>
      <c r="E282" s="21">
        <f>IF(B282="","",AVERAGE(B276:B282))</f>
        <v/>
      </c>
      <c r="F282" s="36">
        <f>IF(B282="","",B282-Settings!$B$4)</f>
        <v/>
      </c>
    </row>
    <row r="283">
      <c r="A283" s="35" t="n"/>
      <c r="B283" s="30" t="n"/>
      <c r="C283" s="36">
        <f>IF(OR(B283="",B282=""),"",B283-B282)</f>
        <v/>
      </c>
      <c r="D283" s="21">
        <f>IF(B283="","",B283/Settings!$B$3^2)</f>
        <v/>
      </c>
      <c r="E283" s="21">
        <f>IF(B283="","",AVERAGE(B277:B283))</f>
        <v/>
      </c>
      <c r="F283" s="36">
        <f>IF(B283="","",B283-Settings!$B$4)</f>
        <v/>
      </c>
    </row>
    <row r="284">
      <c r="A284" s="35" t="n"/>
      <c r="B284" s="30" t="n"/>
      <c r="C284" s="36">
        <f>IF(OR(B284="",B283=""),"",B284-B283)</f>
        <v/>
      </c>
      <c r="D284" s="21">
        <f>IF(B284="","",B284/Settings!$B$3^2)</f>
        <v/>
      </c>
      <c r="E284" s="21">
        <f>IF(B284="","",AVERAGE(B278:B284))</f>
        <v/>
      </c>
      <c r="F284" s="36">
        <f>IF(B284="","",B284-Settings!$B$4)</f>
        <v/>
      </c>
    </row>
    <row r="285">
      <c r="A285" s="35" t="n"/>
      <c r="B285" s="30" t="n"/>
      <c r="C285" s="36">
        <f>IF(OR(B285="",B284=""),"",B285-B284)</f>
        <v/>
      </c>
      <c r="D285" s="21">
        <f>IF(B285="","",B285/Settings!$B$3^2)</f>
        <v/>
      </c>
      <c r="E285" s="21">
        <f>IF(B285="","",AVERAGE(B279:B285))</f>
        <v/>
      </c>
      <c r="F285" s="36">
        <f>IF(B285="","",B285-Settings!$B$4)</f>
        <v/>
      </c>
    </row>
    <row r="286">
      <c r="A286" s="35" t="n"/>
      <c r="B286" s="30" t="n"/>
      <c r="C286" s="36">
        <f>IF(OR(B286="",B285=""),"",B286-B285)</f>
        <v/>
      </c>
      <c r="D286" s="21">
        <f>IF(B286="","",B286/Settings!$B$3^2)</f>
        <v/>
      </c>
      <c r="E286" s="21">
        <f>IF(B286="","",AVERAGE(B280:B286))</f>
        <v/>
      </c>
      <c r="F286" s="36">
        <f>IF(B286="","",B286-Settings!$B$4)</f>
        <v/>
      </c>
    </row>
    <row r="287">
      <c r="A287" s="35" t="n"/>
      <c r="B287" s="30" t="n"/>
      <c r="C287" s="36">
        <f>IF(OR(B287="",B286=""),"",B287-B286)</f>
        <v/>
      </c>
      <c r="D287" s="21">
        <f>IF(B287="","",B287/Settings!$B$3^2)</f>
        <v/>
      </c>
      <c r="E287" s="21">
        <f>IF(B287="","",AVERAGE(B281:B287))</f>
        <v/>
      </c>
      <c r="F287" s="36">
        <f>IF(B287="","",B287-Settings!$B$4)</f>
        <v/>
      </c>
    </row>
    <row r="288">
      <c r="A288" s="35" t="n"/>
      <c r="B288" s="30" t="n"/>
      <c r="C288" s="36">
        <f>IF(OR(B288="",B287=""),"",B288-B287)</f>
        <v/>
      </c>
      <c r="D288" s="21">
        <f>IF(B288="","",B288/Settings!$B$3^2)</f>
        <v/>
      </c>
      <c r="E288" s="21">
        <f>IF(B288="","",AVERAGE(B282:B288))</f>
        <v/>
      </c>
      <c r="F288" s="36">
        <f>IF(B288="","",B288-Settings!$B$4)</f>
        <v/>
      </c>
    </row>
    <row r="289">
      <c r="A289" s="35" t="n"/>
      <c r="B289" s="30" t="n"/>
      <c r="C289" s="36">
        <f>IF(OR(B289="",B288=""),"",B289-B288)</f>
        <v/>
      </c>
      <c r="D289" s="21">
        <f>IF(B289="","",B289/Settings!$B$3^2)</f>
        <v/>
      </c>
      <c r="E289" s="21">
        <f>IF(B289="","",AVERAGE(B283:B289))</f>
        <v/>
      </c>
      <c r="F289" s="36">
        <f>IF(B289="","",B289-Settings!$B$4)</f>
        <v/>
      </c>
    </row>
    <row r="290">
      <c r="A290" s="35" t="n"/>
      <c r="B290" s="30" t="n"/>
      <c r="C290" s="36">
        <f>IF(OR(B290="",B289=""),"",B290-B289)</f>
        <v/>
      </c>
      <c r="D290" s="21">
        <f>IF(B290="","",B290/Settings!$B$3^2)</f>
        <v/>
      </c>
      <c r="E290" s="21">
        <f>IF(B290="","",AVERAGE(B284:B290))</f>
        <v/>
      </c>
      <c r="F290" s="36">
        <f>IF(B290="","",B290-Settings!$B$4)</f>
        <v/>
      </c>
    </row>
    <row r="291">
      <c r="A291" s="35" t="n"/>
      <c r="B291" s="30" t="n"/>
      <c r="C291" s="36">
        <f>IF(OR(B291="",B290=""),"",B291-B290)</f>
        <v/>
      </c>
      <c r="D291" s="21">
        <f>IF(B291="","",B291/Settings!$B$3^2)</f>
        <v/>
      </c>
      <c r="E291" s="21">
        <f>IF(B291="","",AVERAGE(B285:B291))</f>
        <v/>
      </c>
      <c r="F291" s="36">
        <f>IF(B291="","",B291-Settings!$B$4)</f>
        <v/>
      </c>
    </row>
    <row r="292">
      <c r="A292" s="35" t="n"/>
      <c r="B292" s="30" t="n"/>
      <c r="C292" s="36">
        <f>IF(OR(B292="",B291=""),"",B292-B291)</f>
        <v/>
      </c>
      <c r="D292" s="21">
        <f>IF(B292="","",B292/Settings!$B$3^2)</f>
        <v/>
      </c>
      <c r="E292" s="21">
        <f>IF(B292="","",AVERAGE(B286:B292))</f>
        <v/>
      </c>
      <c r="F292" s="36">
        <f>IF(B292="","",B292-Settings!$B$4)</f>
        <v/>
      </c>
    </row>
    <row r="293">
      <c r="A293" s="35" t="n"/>
      <c r="B293" s="30" t="n"/>
      <c r="C293" s="36">
        <f>IF(OR(B293="",B292=""),"",B293-B292)</f>
        <v/>
      </c>
      <c r="D293" s="21">
        <f>IF(B293="","",B293/Settings!$B$3^2)</f>
        <v/>
      </c>
      <c r="E293" s="21">
        <f>IF(B293="","",AVERAGE(B287:B293))</f>
        <v/>
      </c>
      <c r="F293" s="36">
        <f>IF(B293="","",B293-Settings!$B$4)</f>
        <v/>
      </c>
    </row>
    <row r="294">
      <c r="A294" s="35" t="n"/>
      <c r="B294" s="30" t="n"/>
      <c r="C294" s="36">
        <f>IF(OR(B294="",B293=""),"",B294-B293)</f>
        <v/>
      </c>
      <c r="D294" s="21">
        <f>IF(B294="","",B294/Settings!$B$3^2)</f>
        <v/>
      </c>
      <c r="E294" s="21">
        <f>IF(B294="","",AVERAGE(B288:B294))</f>
        <v/>
      </c>
      <c r="F294" s="36">
        <f>IF(B294="","",B294-Settings!$B$4)</f>
        <v/>
      </c>
    </row>
    <row r="295">
      <c r="A295" s="35" t="n"/>
      <c r="B295" s="30" t="n"/>
      <c r="C295" s="36">
        <f>IF(OR(B295="",B294=""),"",B295-B294)</f>
        <v/>
      </c>
      <c r="D295" s="21">
        <f>IF(B295="","",B295/Settings!$B$3^2)</f>
        <v/>
      </c>
      <c r="E295" s="21">
        <f>IF(B295="","",AVERAGE(B289:B295))</f>
        <v/>
      </c>
      <c r="F295" s="36">
        <f>IF(B295="","",B295-Settings!$B$4)</f>
        <v/>
      </c>
    </row>
    <row r="296">
      <c r="A296" s="35" t="n"/>
      <c r="B296" s="30" t="n"/>
      <c r="C296" s="36">
        <f>IF(OR(B296="",B295=""),"",B296-B295)</f>
        <v/>
      </c>
      <c r="D296" s="21">
        <f>IF(B296="","",B296/Settings!$B$3^2)</f>
        <v/>
      </c>
      <c r="E296" s="21">
        <f>IF(B296="","",AVERAGE(B290:B296))</f>
        <v/>
      </c>
      <c r="F296" s="36">
        <f>IF(B296="","",B296-Settings!$B$4)</f>
        <v/>
      </c>
    </row>
    <row r="297">
      <c r="A297" s="35" t="n"/>
      <c r="B297" s="30" t="n"/>
      <c r="C297" s="36">
        <f>IF(OR(B297="",B296=""),"",B297-B296)</f>
        <v/>
      </c>
      <c r="D297" s="21">
        <f>IF(B297="","",B297/Settings!$B$3^2)</f>
        <v/>
      </c>
      <c r="E297" s="21">
        <f>IF(B297="","",AVERAGE(B291:B297))</f>
        <v/>
      </c>
      <c r="F297" s="36">
        <f>IF(B297="","",B297-Settings!$B$4)</f>
        <v/>
      </c>
    </row>
    <row r="298">
      <c r="A298" s="35" t="n"/>
      <c r="B298" s="30" t="n"/>
      <c r="C298" s="36">
        <f>IF(OR(B298="",B297=""),"",B298-B297)</f>
        <v/>
      </c>
      <c r="D298" s="21">
        <f>IF(B298="","",B298/Settings!$B$3^2)</f>
        <v/>
      </c>
      <c r="E298" s="21">
        <f>IF(B298="","",AVERAGE(B292:B298))</f>
        <v/>
      </c>
      <c r="F298" s="36">
        <f>IF(B298="","",B298-Settings!$B$4)</f>
        <v/>
      </c>
    </row>
    <row r="299">
      <c r="A299" s="35" t="n"/>
      <c r="B299" s="30" t="n"/>
      <c r="C299" s="36">
        <f>IF(OR(B299="",B298=""),"",B299-B298)</f>
        <v/>
      </c>
      <c r="D299" s="21">
        <f>IF(B299="","",B299/Settings!$B$3^2)</f>
        <v/>
      </c>
      <c r="E299" s="21">
        <f>IF(B299="","",AVERAGE(B293:B299))</f>
        <v/>
      </c>
      <c r="F299" s="36">
        <f>IF(B299="","",B299-Settings!$B$4)</f>
        <v/>
      </c>
    </row>
    <row r="300">
      <c r="A300" s="35" t="n"/>
      <c r="B300" s="30" t="n"/>
      <c r="C300" s="36">
        <f>IF(OR(B300="",B299=""),"",B300-B299)</f>
        <v/>
      </c>
      <c r="D300" s="21">
        <f>IF(B300="","",B300/Settings!$B$3^2)</f>
        <v/>
      </c>
      <c r="E300" s="21">
        <f>IF(B300="","",AVERAGE(B294:B300))</f>
        <v/>
      </c>
      <c r="F300" s="36">
        <f>IF(B300="","",B300-Settings!$B$4)</f>
        <v/>
      </c>
    </row>
    <row r="301">
      <c r="A301" s="35" t="n"/>
      <c r="B301" s="30" t="n"/>
      <c r="C301" s="36">
        <f>IF(OR(B301="",B300=""),"",B301-B300)</f>
        <v/>
      </c>
      <c r="D301" s="21">
        <f>IF(B301="","",B301/Settings!$B$3^2)</f>
        <v/>
      </c>
      <c r="E301" s="21">
        <f>IF(B301="","",AVERAGE(B295:B301))</f>
        <v/>
      </c>
      <c r="F301" s="36">
        <f>IF(B301="","",B301-Settings!$B$4)</f>
        <v/>
      </c>
    </row>
    <row r="302">
      <c r="A302" s="35" t="n"/>
      <c r="B302" s="30" t="n"/>
      <c r="C302" s="36">
        <f>IF(OR(B302="",B301=""),"",B302-B301)</f>
        <v/>
      </c>
      <c r="D302" s="21">
        <f>IF(B302="","",B302/Settings!$B$3^2)</f>
        <v/>
      </c>
      <c r="E302" s="21">
        <f>IF(B302="","",AVERAGE(B296:B302))</f>
        <v/>
      </c>
      <c r="F302" s="36">
        <f>IF(B302="","",B302-Settings!$B$4)</f>
        <v/>
      </c>
    </row>
    <row r="303">
      <c r="A303" s="35" t="n"/>
      <c r="B303" s="30" t="n"/>
      <c r="C303" s="36">
        <f>IF(OR(B303="",B302=""),"",B303-B302)</f>
        <v/>
      </c>
      <c r="D303" s="21">
        <f>IF(B303="","",B303/Settings!$B$3^2)</f>
        <v/>
      </c>
      <c r="E303" s="21">
        <f>IF(B303="","",AVERAGE(B297:B303))</f>
        <v/>
      </c>
      <c r="F303" s="36">
        <f>IF(B303="","",B303-Settings!$B$4)</f>
        <v/>
      </c>
    </row>
    <row r="304">
      <c r="A304" s="35" t="n"/>
      <c r="B304" s="30" t="n"/>
      <c r="C304" s="36">
        <f>IF(OR(B304="",B303=""),"",B304-B303)</f>
        <v/>
      </c>
      <c r="D304" s="21">
        <f>IF(B304="","",B304/Settings!$B$3^2)</f>
        <v/>
      </c>
      <c r="E304" s="21">
        <f>IF(B304="","",AVERAGE(B298:B304))</f>
        <v/>
      </c>
      <c r="F304" s="36">
        <f>IF(B304="","",B304-Settings!$B$4)</f>
        <v/>
      </c>
    </row>
    <row r="305">
      <c r="A305" s="35" t="n"/>
      <c r="B305" s="30" t="n"/>
      <c r="C305" s="36">
        <f>IF(OR(B305="",B304=""),"",B305-B304)</f>
        <v/>
      </c>
      <c r="D305" s="21">
        <f>IF(B305="","",B305/Settings!$B$3^2)</f>
        <v/>
      </c>
      <c r="E305" s="21">
        <f>IF(B305="","",AVERAGE(B299:B305))</f>
        <v/>
      </c>
      <c r="F305" s="36">
        <f>IF(B305="","",B305-Settings!$B$4)</f>
        <v/>
      </c>
    </row>
    <row r="306">
      <c r="A306" s="35" t="n"/>
      <c r="B306" s="30" t="n"/>
      <c r="C306" s="36">
        <f>IF(OR(B306="",B305=""),"",B306-B305)</f>
        <v/>
      </c>
      <c r="D306" s="21">
        <f>IF(B306="","",B306/Settings!$B$3^2)</f>
        <v/>
      </c>
      <c r="E306" s="21">
        <f>IF(B306="","",AVERAGE(B300:B306))</f>
        <v/>
      </c>
      <c r="F306" s="36">
        <f>IF(B306="","",B306-Settings!$B$4)</f>
        <v/>
      </c>
    </row>
    <row r="307">
      <c r="A307" s="35" t="n"/>
      <c r="B307" s="30" t="n"/>
      <c r="C307" s="36">
        <f>IF(OR(B307="",B306=""),"",B307-B306)</f>
        <v/>
      </c>
      <c r="D307" s="21">
        <f>IF(B307="","",B307/Settings!$B$3^2)</f>
        <v/>
      </c>
      <c r="E307" s="21">
        <f>IF(B307="","",AVERAGE(B301:B307))</f>
        <v/>
      </c>
      <c r="F307" s="36">
        <f>IF(B307="","",B307-Settings!$B$4)</f>
        <v/>
      </c>
    </row>
    <row r="308">
      <c r="A308" s="35" t="n"/>
      <c r="B308" s="30" t="n"/>
      <c r="C308" s="36">
        <f>IF(OR(B308="",B307=""),"",B308-B307)</f>
        <v/>
      </c>
      <c r="D308" s="21">
        <f>IF(B308="","",B308/Settings!$B$3^2)</f>
        <v/>
      </c>
      <c r="E308" s="21">
        <f>IF(B308="","",AVERAGE(B302:B308))</f>
        <v/>
      </c>
      <c r="F308" s="36">
        <f>IF(B308="","",B308-Settings!$B$4)</f>
        <v/>
      </c>
    </row>
    <row r="309">
      <c r="A309" s="35" t="n"/>
      <c r="B309" s="30" t="n"/>
      <c r="C309" s="36">
        <f>IF(OR(B309="",B308=""),"",B309-B308)</f>
        <v/>
      </c>
      <c r="D309" s="21">
        <f>IF(B309="","",B309/Settings!$B$3^2)</f>
        <v/>
      </c>
      <c r="E309" s="21">
        <f>IF(B309="","",AVERAGE(B303:B309))</f>
        <v/>
      </c>
      <c r="F309" s="36">
        <f>IF(B309="","",B309-Settings!$B$4)</f>
        <v/>
      </c>
    </row>
    <row r="310">
      <c r="A310" s="35" t="n"/>
      <c r="B310" s="30" t="n"/>
      <c r="C310" s="36">
        <f>IF(OR(B310="",B309=""),"",B310-B309)</f>
        <v/>
      </c>
      <c r="D310" s="21">
        <f>IF(B310="","",B310/Settings!$B$3^2)</f>
        <v/>
      </c>
      <c r="E310" s="21">
        <f>IF(B310="","",AVERAGE(B304:B310))</f>
        <v/>
      </c>
      <c r="F310" s="36">
        <f>IF(B310="","",B310-Settings!$B$4)</f>
        <v/>
      </c>
    </row>
    <row r="311">
      <c r="A311" s="35" t="n"/>
      <c r="B311" s="30" t="n"/>
      <c r="C311" s="36">
        <f>IF(OR(B311="",B310=""),"",B311-B310)</f>
        <v/>
      </c>
      <c r="D311" s="21">
        <f>IF(B311="","",B311/Settings!$B$3^2)</f>
        <v/>
      </c>
      <c r="E311" s="21">
        <f>IF(B311="","",AVERAGE(B305:B311))</f>
        <v/>
      </c>
      <c r="F311" s="36">
        <f>IF(B311="","",B311-Settings!$B$4)</f>
        <v/>
      </c>
    </row>
    <row r="312">
      <c r="A312" s="35" t="n"/>
      <c r="B312" s="30" t="n"/>
      <c r="C312" s="36">
        <f>IF(OR(B312="",B311=""),"",B312-B311)</f>
        <v/>
      </c>
      <c r="D312" s="21">
        <f>IF(B312="","",B312/Settings!$B$3^2)</f>
        <v/>
      </c>
      <c r="E312" s="21">
        <f>IF(B312="","",AVERAGE(B306:B312))</f>
        <v/>
      </c>
      <c r="F312" s="36">
        <f>IF(B312="","",B312-Settings!$B$4)</f>
        <v/>
      </c>
    </row>
    <row r="313">
      <c r="A313" s="35" t="n"/>
      <c r="B313" s="30" t="n"/>
      <c r="C313" s="36">
        <f>IF(OR(B313="",B312=""),"",B313-B312)</f>
        <v/>
      </c>
      <c r="D313" s="21">
        <f>IF(B313="","",B313/Settings!$B$3^2)</f>
        <v/>
      </c>
      <c r="E313" s="21">
        <f>IF(B313="","",AVERAGE(B307:B313))</f>
        <v/>
      </c>
      <c r="F313" s="36">
        <f>IF(B313="","",B313-Settings!$B$4)</f>
        <v/>
      </c>
    </row>
    <row r="314">
      <c r="A314" s="35" t="n"/>
      <c r="B314" s="30" t="n"/>
      <c r="C314" s="36">
        <f>IF(OR(B314="",B313=""),"",B314-B313)</f>
        <v/>
      </c>
      <c r="D314" s="21">
        <f>IF(B314="","",B314/Settings!$B$3^2)</f>
        <v/>
      </c>
      <c r="E314" s="21">
        <f>IF(B314="","",AVERAGE(B308:B314))</f>
        <v/>
      </c>
      <c r="F314" s="36">
        <f>IF(B314="","",B314-Settings!$B$4)</f>
        <v/>
      </c>
    </row>
    <row r="315">
      <c r="A315" s="35" t="n"/>
      <c r="B315" s="30" t="n"/>
      <c r="C315" s="36">
        <f>IF(OR(B315="",B314=""),"",B315-B314)</f>
        <v/>
      </c>
      <c r="D315" s="21">
        <f>IF(B315="","",B315/Settings!$B$3^2)</f>
        <v/>
      </c>
      <c r="E315" s="21">
        <f>IF(B315="","",AVERAGE(B309:B315))</f>
        <v/>
      </c>
      <c r="F315" s="36">
        <f>IF(B315="","",B315-Settings!$B$4)</f>
        <v/>
      </c>
    </row>
    <row r="316">
      <c r="A316" s="35" t="n"/>
      <c r="B316" s="30" t="n"/>
      <c r="C316" s="36">
        <f>IF(OR(B316="",B315=""),"",B316-B315)</f>
        <v/>
      </c>
      <c r="D316" s="21">
        <f>IF(B316="","",B316/Settings!$B$3^2)</f>
        <v/>
      </c>
      <c r="E316" s="21">
        <f>IF(B316="","",AVERAGE(B310:B316))</f>
        <v/>
      </c>
      <c r="F316" s="36">
        <f>IF(B316="","",B316-Settings!$B$4)</f>
        <v/>
      </c>
    </row>
    <row r="317">
      <c r="A317" s="35" t="n"/>
      <c r="B317" s="30" t="n"/>
      <c r="C317" s="36">
        <f>IF(OR(B317="",B316=""),"",B317-B316)</f>
        <v/>
      </c>
      <c r="D317" s="21">
        <f>IF(B317="","",B317/Settings!$B$3^2)</f>
        <v/>
      </c>
      <c r="E317" s="21">
        <f>IF(B317="","",AVERAGE(B311:B317))</f>
        <v/>
      </c>
      <c r="F317" s="36">
        <f>IF(B317="","",B317-Settings!$B$4)</f>
        <v/>
      </c>
    </row>
    <row r="318">
      <c r="A318" s="35" t="n"/>
      <c r="B318" s="30" t="n"/>
      <c r="C318" s="36">
        <f>IF(OR(B318="",B317=""),"",B318-B317)</f>
        <v/>
      </c>
      <c r="D318" s="21">
        <f>IF(B318="","",B318/Settings!$B$3^2)</f>
        <v/>
      </c>
      <c r="E318" s="21">
        <f>IF(B318="","",AVERAGE(B312:B318))</f>
        <v/>
      </c>
      <c r="F318" s="36">
        <f>IF(B318="","",B318-Settings!$B$4)</f>
        <v/>
      </c>
    </row>
    <row r="319">
      <c r="A319" s="35" t="n"/>
      <c r="B319" s="30" t="n"/>
      <c r="C319" s="36">
        <f>IF(OR(B319="",B318=""),"",B319-B318)</f>
        <v/>
      </c>
      <c r="D319" s="21">
        <f>IF(B319="","",B319/Settings!$B$3^2)</f>
        <v/>
      </c>
      <c r="E319" s="21">
        <f>IF(B319="","",AVERAGE(B313:B319))</f>
        <v/>
      </c>
      <c r="F319" s="36">
        <f>IF(B319="","",B319-Settings!$B$4)</f>
        <v/>
      </c>
    </row>
    <row r="320">
      <c r="A320" s="35" t="n"/>
      <c r="B320" s="30" t="n"/>
      <c r="C320" s="36">
        <f>IF(OR(B320="",B319=""),"",B320-B319)</f>
        <v/>
      </c>
      <c r="D320" s="21">
        <f>IF(B320="","",B320/Settings!$B$3^2)</f>
        <v/>
      </c>
      <c r="E320" s="21">
        <f>IF(B320="","",AVERAGE(B314:B320))</f>
        <v/>
      </c>
      <c r="F320" s="36">
        <f>IF(B320="","",B320-Settings!$B$4)</f>
        <v/>
      </c>
    </row>
    <row r="321">
      <c r="A321" s="35" t="n"/>
      <c r="B321" s="30" t="n"/>
      <c r="C321" s="36">
        <f>IF(OR(B321="",B320=""),"",B321-B320)</f>
        <v/>
      </c>
      <c r="D321" s="21">
        <f>IF(B321="","",B321/Settings!$B$3^2)</f>
        <v/>
      </c>
      <c r="E321" s="21">
        <f>IF(B321="","",AVERAGE(B315:B321))</f>
        <v/>
      </c>
      <c r="F321" s="36">
        <f>IF(B321="","",B321-Settings!$B$4)</f>
        <v/>
      </c>
    </row>
    <row r="322">
      <c r="A322" s="35" t="n"/>
      <c r="B322" s="30" t="n"/>
      <c r="C322" s="36">
        <f>IF(OR(B322="",B321=""),"",B322-B321)</f>
        <v/>
      </c>
      <c r="D322" s="21">
        <f>IF(B322="","",B322/Settings!$B$3^2)</f>
        <v/>
      </c>
      <c r="E322" s="21">
        <f>IF(B322="","",AVERAGE(B316:B322))</f>
        <v/>
      </c>
      <c r="F322" s="36">
        <f>IF(B322="","",B322-Settings!$B$4)</f>
        <v/>
      </c>
    </row>
    <row r="323">
      <c r="A323" s="35" t="n"/>
      <c r="B323" s="30" t="n"/>
      <c r="C323" s="36">
        <f>IF(OR(B323="",B322=""),"",B323-B322)</f>
        <v/>
      </c>
      <c r="D323" s="21">
        <f>IF(B323="","",B323/Settings!$B$3^2)</f>
        <v/>
      </c>
      <c r="E323" s="21">
        <f>IF(B323="","",AVERAGE(B317:B323))</f>
        <v/>
      </c>
      <c r="F323" s="36">
        <f>IF(B323="","",B323-Settings!$B$4)</f>
        <v/>
      </c>
    </row>
    <row r="324">
      <c r="A324" s="35" t="n"/>
      <c r="B324" s="30" t="n"/>
      <c r="C324" s="36">
        <f>IF(OR(B324="",B323=""),"",B324-B323)</f>
        <v/>
      </c>
      <c r="D324" s="21">
        <f>IF(B324="","",B324/Settings!$B$3^2)</f>
        <v/>
      </c>
      <c r="E324" s="21">
        <f>IF(B324="","",AVERAGE(B318:B324))</f>
        <v/>
      </c>
      <c r="F324" s="36">
        <f>IF(B324="","",B324-Settings!$B$4)</f>
        <v/>
      </c>
    </row>
    <row r="325">
      <c r="A325" s="35" t="n"/>
      <c r="B325" s="30" t="n"/>
      <c r="C325" s="36">
        <f>IF(OR(B325="",B324=""),"",B325-B324)</f>
        <v/>
      </c>
      <c r="D325" s="21">
        <f>IF(B325="","",B325/Settings!$B$3^2)</f>
        <v/>
      </c>
      <c r="E325" s="21">
        <f>IF(B325="","",AVERAGE(B319:B325))</f>
        <v/>
      </c>
      <c r="F325" s="36">
        <f>IF(B325="","",B325-Settings!$B$4)</f>
        <v/>
      </c>
    </row>
    <row r="326">
      <c r="A326" s="35" t="n"/>
      <c r="B326" s="30" t="n"/>
      <c r="C326" s="36">
        <f>IF(OR(B326="",B325=""),"",B326-B325)</f>
        <v/>
      </c>
      <c r="D326" s="21">
        <f>IF(B326="","",B326/Settings!$B$3^2)</f>
        <v/>
      </c>
      <c r="E326" s="21">
        <f>IF(B326="","",AVERAGE(B320:B326))</f>
        <v/>
      </c>
      <c r="F326" s="36">
        <f>IF(B326="","",B326-Settings!$B$4)</f>
        <v/>
      </c>
    </row>
    <row r="327">
      <c r="A327" s="35" t="n"/>
      <c r="B327" s="30" t="n"/>
      <c r="C327" s="36">
        <f>IF(OR(B327="",B326=""),"",B327-B326)</f>
        <v/>
      </c>
      <c r="D327" s="21">
        <f>IF(B327="","",B327/Settings!$B$3^2)</f>
        <v/>
      </c>
      <c r="E327" s="21">
        <f>IF(B327="","",AVERAGE(B321:B327))</f>
        <v/>
      </c>
      <c r="F327" s="36">
        <f>IF(B327="","",B327-Settings!$B$4)</f>
        <v/>
      </c>
    </row>
    <row r="328">
      <c r="A328" s="35" t="n"/>
      <c r="B328" s="30" t="n"/>
      <c r="C328" s="36">
        <f>IF(OR(B328="",B327=""),"",B328-B327)</f>
        <v/>
      </c>
      <c r="D328" s="21">
        <f>IF(B328="","",B328/Settings!$B$3^2)</f>
        <v/>
      </c>
      <c r="E328" s="21">
        <f>IF(B328="","",AVERAGE(B322:B328))</f>
        <v/>
      </c>
      <c r="F328" s="36">
        <f>IF(B328="","",B328-Settings!$B$4)</f>
        <v/>
      </c>
    </row>
    <row r="329">
      <c r="A329" s="35" t="n"/>
      <c r="B329" s="30" t="n"/>
      <c r="C329" s="36">
        <f>IF(OR(B329="",B328=""),"",B329-B328)</f>
        <v/>
      </c>
      <c r="D329" s="21">
        <f>IF(B329="","",B329/Settings!$B$3^2)</f>
        <v/>
      </c>
      <c r="E329" s="21">
        <f>IF(B329="","",AVERAGE(B323:B329))</f>
        <v/>
      </c>
      <c r="F329" s="36">
        <f>IF(B329="","",B329-Settings!$B$4)</f>
        <v/>
      </c>
    </row>
    <row r="330">
      <c r="A330" s="35" t="n"/>
      <c r="B330" s="30" t="n"/>
      <c r="C330" s="36">
        <f>IF(OR(B330="",B329=""),"",B330-B329)</f>
        <v/>
      </c>
      <c r="D330" s="21">
        <f>IF(B330="","",B330/Settings!$B$3^2)</f>
        <v/>
      </c>
      <c r="E330" s="21">
        <f>IF(B330="","",AVERAGE(B324:B330))</f>
        <v/>
      </c>
      <c r="F330" s="36">
        <f>IF(B330="","",B330-Settings!$B$4)</f>
        <v/>
      </c>
    </row>
    <row r="331">
      <c r="A331" s="35" t="n"/>
      <c r="B331" s="30" t="n"/>
      <c r="C331" s="36">
        <f>IF(OR(B331="",B330=""),"",B331-B330)</f>
        <v/>
      </c>
      <c r="D331" s="21">
        <f>IF(B331="","",B331/Settings!$B$3^2)</f>
        <v/>
      </c>
      <c r="E331" s="21">
        <f>IF(B331="","",AVERAGE(B325:B331))</f>
        <v/>
      </c>
      <c r="F331" s="36">
        <f>IF(B331="","",B331-Settings!$B$4)</f>
        <v/>
      </c>
    </row>
    <row r="332">
      <c r="A332" s="35" t="n"/>
      <c r="B332" s="30" t="n"/>
      <c r="C332" s="36">
        <f>IF(OR(B332="",B331=""),"",B332-B331)</f>
        <v/>
      </c>
      <c r="D332" s="21">
        <f>IF(B332="","",B332/Settings!$B$3^2)</f>
        <v/>
      </c>
      <c r="E332" s="21">
        <f>IF(B332="","",AVERAGE(B326:B332))</f>
        <v/>
      </c>
      <c r="F332" s="36">
        <f>IF(B332="","",B332-Settings!$B$4)</f>
        <v/>
      </c>
    </row>
    <row r="333">
      <c r="A333" s="35" t="n"/>
      <c r="B333" s="30" t="n"/>
      <c r="C333" s="36">
        <f>IF(OR(B333="",B332=""),"",B333-B332)</f>
        <v/>
      </c>
      <c r="D333" s="21">
        <f>IF(B333="","",B333/Settings!$B$3^2)</f>
        <v/>
      </c>
      <c r="E333" s="21">
        <f>IF(B333="","",AVERAGE(B327:B333))</f>
        <v/>
      </c>
      <c r="F333" s="36">
        <f>IF(B333="","",B333-Settings!$B$4)</f>
        <v/>
      </c>
    </row>
    <row r="334">
      <c r="A334" s="35" t="n"/>
      <c r="B334" s="30" t="n"/>
      <c r="C334" s="36">
        <f>IF(OR(B334="",B333=""),"",B334-B333)</f>
        <v/>
      </c>
      <c r="D334" s="21">
        <f>IF(B334="","",B334/Settings!$B$3^2)</f>
        <v/>
      </c>
      <c r="E334" s="21">
        <f>IF(B334="","",AVERAGE(B328:B334))</f>
        <v/>
      </c>
      <c r="F334" s="36">
        <f>IF(B334="","",B334-Settings!$B$4)</f>
        <v/>
      </c>
    </row>
    <row r="335">
      <c r="A335" s="35" t="n"/>
      <c r="B335" s="30" t="n"/>
      <c r="C335" s="36">
        <f>IF(OR(B335="",B334=""),"",B335-B334)</f>
        <v/>
      </c>
      <c r="D335" s="21">
        <f>IF(B335="","",B335/Settings!$B$3^2)</f>
        <v/>
      </c>
      <c r="E335" s="21">
        <f>IF(B335="","",AVERAGE(B329:B335))</f>
        <v/>
      </c>
      <c r="F335" s="36">
        <f>IF(B335="","",B335-Settings!$B$4)</f>
        <v/>
      </c>
    </row>
    <row r="336">
      <c r="A336" s="35" t="n"/>
      <c r="B336" s="30" t="n"/>
      <c r="C336" s="36">
        <f>IF(OR(B336="",B335=""),"",B336-B335)</f>
        <v/>
      </c>
      <c r="D336" s="21">
        <f>IF(B336="","",B336/Settings!$B$3^2)</f>
        <v/>
      </c>
      <c r="E336" s="21">
        <f>IF(B336="","",AVERAGE(B330:B336))</f>
        <v/>
      </c>
      <c r="F336" s="36">
        <f>IF(B336="","",B336-Settings!$B$4)</f>
        <v/>
      </c>
    </row>
    <row r="337">
      <c r="A337" s="35" t="n"/>
      <c r="B337" s="30" t="n"/>
      <c r="C337" s="36">
        <f>IF(OR(B337="",B336=""),"",B337-B336)</f>
        <v/>
      </c>
      <c r="D337" s="21">
        <f>IF(B337="","",B337/Settings!$B$3^2)</f>
        <v/>
      </c>
      <c r="E337" s="21">
        <f>IF(B337="","",AVERAGE(B331:B337))</f>
        <v/>
      </c>
      <c r="F337" s="36">
        <f>IF(B337="","",B337-Settings!$B$4)</f>
        <v/>
      </c>
    </row>
    <row r="338">
      <c r="A338" s="35" t="n"/>
      <c r="B338" s="30" t="n"/>
      <c r="C338" s="36">
        <f>IF(OR(B338="",B337=""),"",B338-B337)</f>
        <v/>
      </c>
      <c r="D338" s="21">
        <f>IF(B338="","",B338/Settings!$B$3^2)</f>
        <v/>
      </c>
      <c r="E338" s="21">
        <f>IF(B338="","",AVERAGE(B332:B338))</f>
        <v/>
      </c>
      <c r="F338" s="36">
        <f>IF(B338="","",B338-Settings!$B$4)</f>
        <v/>
      </c>
    </row>
    <row r="339">
      <c r="A339" s="35" t="n"/>
      <c r="B339" s="30" t="n"/>
      <c r="C339" s="36">
        <f>IF(OR(B339="",B338=""),"",B339-B338)</f>
        <v/>
      </c>
      <c r="D339" s="21">
        <f>IF(B339="","",B339/Settings!$B$3^2)</f>
        <v/>
      </c>
      <c r="E339" s="21">
        <f>IF(B339="","",AVERAGE(B333:B339))</f>
        <v/>
      </c>
      <c r="F339" s="36">
        <f>IF(B339="","",B339-Settings!$B$4)</f>
        <v/>
      </c>
    </row>
    <row r="340">
      <c r="A340" s="35" t="n"/>
      <c r="B340" s="30" t="n"/>
      <c r="C340" s="36">
        <f>IF(OR(B340="",B339=""),"",B340-B339)</f>
        <v/>
      </c>
      <c r="D340" s="21">
        <f>IF(B340="","",B340/Settings!$B$3^2)</f>
        <v/>
      </c>
      <c r="E340" s="21">
        <f>IF(B340="","",AVERAGE(B334:B340))</f>
        <v/>
      </c>
      <c r="F340" s="36">
        <f>IF(B340="","",B340-Settings!$B$4)</f>
        <v/>
      </c>
    </row>
    <row r="341">
      <c r="A341" s="35" t="n"/>
      <c r="B341" s="30" t="n"/>
      <c r="C341" s="36">
        <f>IF(OR(B341="",B340=""),"",B341-B340)</f>
        <v/>
      </c>
      <c r="D341" s="21">
        <f>IF(B341="","",B341/Settings!$B$3^2)</f>
        <v/>
      </c>
      <c r="E341" s="21">
        <f>IF(B341="","",AVERAGE(B335:B341))</f>
        <v/>
      </c>
      <c r="F341" s="36">
        <f>IF(B341="","",B341-Settings!$B$4)</f>
        <v/>
      </c>
    </row>
    <row r="342">
      <c r="A342" s="35" t="n"/>
      <c r="B342" s="30" t="n"/>
      <c r="C342" s="36">
        <f>IF(OR(B342="",B341=""),"",B342-B341)</f>
        <v/>
      </c>
      <c r="D342" s="21">
        <f>IF(B342="","",B342/Settings!$B$3^2)</f>
        <v/>
      </c>
      <c r="E342" s="21">
        <f>IF(B342="","",AVERAGE(B336:B342))</f>
        <v/>
      </c>
      <c r="F342" s="36">
        <f>IF(B342="","",B342-Settings!$B$4)</f>
        <v/>
      </c>
    </row>
    <row r="343">
      <c r="A343" s="35" t="n"/>
      <c r="B343" s="30" t="n"/>
      <c r="C343" s="36">
        <f>IF(OR(B343="",B342=""),"",B343-B342)</f>
        <v/>
      </c>
      <c r="D343" s="21">
        <f>IF(B343="","",B343/Settings!$B$3^2)</f>
        <v/>
      </c>
      <c r="E343" s="21">
        <f>IF(B343="","",AVERAGE(B337:B343))</f>
        <v/>
      </c>
      <c r="F343" s="36">
        <f>IF(B343="","",B343-Settings!$B$4)</f>
        <v/>
      </c>
    </row>
    <row r="344">
      <c r="A344" s="35" t="n"/>
      <c r="B344" s="30" t="n"/>
      <c r="C344" s="36">
        <f>IF(OR(B344="",B343=""),"",B344-B343)</f>
        <v/>
      </c>
      <c r="D344" s="21">
        <f>IF(B344="","",B344/Settings!$B$3^2)</f>
        <v/>
      </c>
      <c r="E344" s="21">
        <f>IF(B344="","",AVERAGE(B338:B344))</f>
        <v/>
      </c>
      <c r="F344" s="36">
        <f>IF(B344="","",B344-Settings!$B$4)</f>
        <v/>
      </c>
    </row>
    <row r="345">
      <c r="A345" s="35" t="n"/>
      <c r="B345" s="30" t="n"/>
      <c r="C345" s="36">
        <f>IF(OR(B345="",B344=""),"",B345-B344)</f>
        <v/>
      </c>
      <c r="D345" s="21">
        <f>IF(B345="","",B345/Settings!$B$3^2)</f>
        <v/>
      </c>
      <c r="E345" s="21">
        <f>IF(B345="","",AVERAGE(B339:B345))</f>
        <v/>
      </c>
      <c r="F345" s="36">
        <f>IF(B345="","",B345-Settings!$B$4)</f>
        <v/>
      </c>
    </row>
    <row r="346">
      <c r="A346" s="35" t="n"/>
      <c r="B346" s="30" t="n"/>
      <c r="C346" s="36">
        <f>IF(OR(B346="",B345=""),"",B346-B345)</f>
        <v/>
      </c>
      <c r="D346" s="21">
        <f>IF(B346="","",B346/Settings!$B$3^2)</f>
        <v/>
      </c>
      <c r="E346" s="21">
        <f>IF(B346="","",AVERAGE(B340:B346))</f>
        <v/>
      </c>
      <c r="F346" s="36">
        <f>IF(B346="","",B346-Settings!$B$4)</f>
        <v/>
      </c>
    </row>
    <row r="347">
      <c r="A347" s="35" t="n"/>
      <c r="B347" s="30" t="n"/>
      <c r="C347" s="36">
        <f>IF(OR(B347="",B346=""),"",B347-B346)</f>
        <v/>
      </c>
      <c r="D347" s="21">
        <f>IF(B347="","",B347/Settings!$B$3^2)</f>
        <v/>
      </c>
      <c r="E347" s="21">
        <f>IF(B347="","",AVERAGE(B341:B347))</f>
        <v/>
      </c>
      <c r="F347" s="36">
        <f>IF(B347="","",B347-Settings!$B$4)</f>
        <v/>
      </c>
    </row>
    <row r="348">
      <c r="A348" s="35" t="n"/>
      <c r="B348" s="30" t="n"/>
      <c r="C348" s="36">
        <f>IF(OR(B348="",B347=""),"",B348-B347)</f>
        <v/>
      </c>
      <c r="D348" s="21">
        <f>IF(B348="","",B348/Settings!$B$3^2)</f>
        <v/>
      </c>
      <c r="E348" s="21">
        <f>IF(B348="","",AVERAGE(B342:B348))</f>
        <v/>
      </c>
      <c r="F348" s="36">
        <f>IF(B348="","",B348-Settings!$B$4)</f>
        <v/>
      </c>
    </row>
    <row r="349">
      <c r="A349" s="35" t="n"/>
      <c r="B349" s="30" t="n"/>
      <c r="C349" s="36">
        <f>IF(OR(B349="",B348=""),"",B349-B348)</f>
        <v/>
      </c>
      <c r="D349" s="21">
        <f>IF(B349="","",B349/Settings!$B$3^2)</f>
        <v/>
      </c>
      <c r="E349" s="21">
        <f>IF(B349="","",AVERAGE(B343:B349))</f>
        <v/>
      </c>
      <c r="F349" s="36">
        <f>IF(B349="","",B349-Settings!$B$4)</f>
        <v/>
      </c>
    </row>
    <row r="350">
      <c r="A350" s="35" t="n"/>
      <c r="B350" s="30" t="n"/>
      <c r="C350" s="36">
        <f>IF(OR(B350="",B349=""),"",B350-B349)</f>
        <v/>
      </c>
      <c r="D350" s="21">
        <f>IF(B350="","",B350/Settings!$B$3^2)</f>
        <v/>
      </c>
      <c r="E350" s="21">
        <f>IF(B350="","",AVERAGE(B344:B350))</f>
        <v/>
      </c>
      <c r="F350" s="36">
        <f>IF(B350="","",B350-Settings!$B$4)</f>
        <v/>
      </c>
    </row>
    <row r="351">
      <c r="A351" s="35" t="n"/>
      <c r="B351" s="30" t="n"/>
      <c r="C351" s="36">
        <f>IF(OR(B351="",B350=""),"",B351-B350)</f>
        <v/>
      </c>
      <c r="D351" s="21">
        <f>IF(B351="","",B351/Settings!$B$3^2)</f>
        <v/>
      </c>
      <c r="E351" s="21">
        <f>IF(B351="","",AVERAGE(B345:B351))</f>
        <v/>
      </c>
      <c r="F351" s="36">
        <f>IF(B351="","",B351-Settings!$B$4)</f>
        <v/>
      </c>
    </row>
    <row r="352">
      <c r="A352" s="35" t="n"/>
      <c r="B352" s="30" t="n"/>
      <c r="C352" s="36">
        <f>IF(OR(B352="",B351=""),"",B352-B351)</f>
        <v/>
      </c>
      <c r="D352" s="21">
        <f>IF(B352="","",B352/Settings!$B$3^2)</f>
        <v/>
      </c>
      <c r="E352" s="21">
        <f>IF(B352="","",AVERAGE(B346:B352))</f>
        <v/>
      </c>
      <c r="F352" s="36">
        <f>IF(B352="","",B352-Settings!$B$4)</f>
        <v/>
      </c>
    </row>
    <row r="353">
      <c r="A353" s="35" t="n"/>
      <c r="B353" s="30" t="n"/>
      <c r="C353" s="36">
        <f>IF(OR(B353="",B352=""),"",B353-B352)</f>
        <v/>
      </c>
      <c r="D353" s="21">
        <f>IF(B353="","",B353/Settings!$B$3^2)</f>
        <v/>
      </c>
      <c r="E353" s="21">
        <f>IF(B353="","",AVERAGE(B347:B353))</f>
        <v/>
      </c>
      <c r="F353" s="36">
        <f>IF(B353="","",B353-Settings!$B$4)</f>
        <v/>
      </c>
    </row>
    <row r="354">
      <c r="A354" s="35" t="n"/>
      <c r="B354" s="30" t="n"/>
      <c r="C354" s="36">
        <f>IF(OR(B354="",B353=""),"",B354-B353)</f>
        <v/>
      </c>
      <c r="D354" s="21">
        <f>IF(B354="","",B354/Settings!$B$3^2)</f>
        <v/>
      </c>
      <c r="E354" s="21">
        <f>IF(B354="","",AVERAGE(B348:B354))</f>
        <v/>
      </c>
      <c r="F354" s="36">
        <f>IF(B354="","",B354-Settings!$B$4)</f>
        <v/>
      </c>
    </row>
    <row r="355">
      <c r="A355" s="35" t="n"/>
      <c r="B355" s="30" t="n"/>
      <c r="C355" s="36">
        <f>IF(OR(B355="",B354=""),"",B355-B354)</f>
        <v/>
      </c>
      <c r="D355" s="21">
        <f>IF(B355="","",B355/Settings!$B$3^2)</f>
        <v/>
      </c>
      <c r="E355" s="21">
        <f>IF(B355="","",AVERAGE(B349:B355))</f>
        <v/>
      </c>
      <c r="F355" s="36">
        <f>IF(B355="","",B355-Settings!$B$4)</f>
        <v/>
      </c>
    </row>
    <row r="356">
      <c r="A356" s="35" t="n"/>
      <c r="B356" s="30" t="n"/>
      <c r="C356" s="36">
        <f>IF(OR(B356="",B355=""),"",B356-B355)</f>
        <v/>
      </c>
      <c r="D356" s="21">
        <f>IF(B356="","",B356/Settings!$B$3^2)</f>
        <v/>
      </c>
      <c r="E356" s="21">
        <f>IF(B356="","",AVERAGE(B350:B356))</f>
        <v/>
      </c>
      <c r="F356" s="36">
        <f>IF(B356="","",B356-Settings!$B$4)</f>
        <v/>
      </c>
    </row>
    <row r="357">
      <c r="A357" s="35" t="n"/>
      <c r="B357" s="30" t="n"/>
      <c r="C357" s="36">
        <f>IF(OR(B357="",B356=""),"",B357-B356)</f>
        <v/>
      </c>
      <c r="D357" s="21">
        <f>IF(B357="","",B357/Settings!$B$3^2)</f>
        <v/>
      </c>
      <c r="E357" s="21">
        <f>IF(B357="","",AVERAGE(B351:B357))</f>
        <v/>
      </c>
      <c r="F357" s="36">
        <f>IF(B357="","",B357-Settings!$B$4)</f>
        <v/>
      </c>
    </row>
    <row r="358">
      <c r="A358" s="35" t="n"/>
      <c r="B358" s="30" t="n"/>
      <c r="C358" s="36">
        <f>IF(OR(B358="",B357=""),"",B358-B357)</f>
        <v/>
      </c>
      <c r="D358" s="21">
        <f>IF(B358="","",B358/Settings!$B$3^2)</f>
        <v/>
      </c>
      <c r="E358" s="21">
        <f>IF(B358="","",AVERAGE(B352:B358))</f>
        <v/>
      </c>
      <c r="F358" s="36">
        <f>IF(B358="","",B358-Settings!$B$4)</f>
        <v/>
      </c>
    </row>
    <row r="359">
      <c r="A359" s="35" t="n"/>
      <c r="B359" s="30" t="n"/>
      <c r="C359" s="36">
        <f>IF(OR(B359="",B358=""),"",B359-B358)</f>
        <v/>
      </c>
      <c r="D359" s="21">
        <f>IF(B359="","",B359/Settings!$B$3^2)</f>
        <v/>
      </c>
      <c r="E359" s="21">
        <f>IF(B359="","",AVERAGE(B353:B359))</f>
        <v/>
      </c>
      <c r="F359" s="36">
        <f>IF(B359="","",B359-Settings!$B$4)</f>
        <v/>
      </c>
    </row>
    <row r="360">
      <c r="A360" s="35" t="n"/>
      <c r="B360" s="30" t="n"/>
      <c r="C360" s="36">
        <f>IF(OR(B360="",B359=""),"",B360-B359)</f>
        <v/>
      </c>
      <c r="D360" s="21">
        <f>IF(B360="","",B360/Settings!$B$3^2)</f>
        <v/>
      </c>
      <c r="E360" s="21">
        <f>IF(B360="","",AVERAGE(B354:B360))</f>
        <v/>
      </c>
      <c r="F360" s="36">
        <f>IF(B360="","",B360-Settings!$B$4)</f>
        <v/>
      </c>
    </row>
    <row r="361">
      <c r="A361" s="35" t="n"/>
      <c r="B361" s="30" t="n"/>
      <c r="C361" s="36">
        <f>IF(OR(B361="",B360=""),"",B361-B360)</f>
        <v/>
      </c>
      <c r="D361" s="21">
        <f>IF(B361="","",B361/Settings!$B$3^2)</f>
        <v/>
      </c>
      <c r="E361" s="21">
        <f>IF(B361="","",AVERAGE(B355:B361))</f>
        <v/>
      </c>
      <c r="F361" s="36">
        <f>IF(B361="","",B361-Settings!$B$4)</f>
        <v/>
      </c>
    </row>
    <row r="362">
      <c r="A362" s="35" t="n"/>
      <c r="B362" s="30" t="n"/>
      <c r="C362" s="36">
        <f>IF(OR(B362="",B361=""),"",B362-B361)</f>
        <v/>
      </c>
      <c r="D362" s="21">
        <f>IF(B362="","",B362/Settings!$B$3^2)</f>
        <v/>
      </c>
      <c r="E362" s="21">
        <f>IF(B362="","",AVERAGE(B356:B362))</f>
        <v/>
      </c>
      <c r="F362" s="36">
        <f>IF(B362="","",B362-Settings!$B$4)</f>
        <v/>
      </c>
    </row>
    <row r="363">
      <c r="A363" s="35" t="n"/>
      <c r="B363" s="30" t="n"/>
      <c r="C363" s="36">
        <f>IF(OR(B363="",B362=""),"",B363-B362)</f>
        <v/>
      </c>
      <c r="D363" s="21">
        <f>IF(B363="","",B363/Settings!$B$3^2)</f>
        <v/>
      </c>
      <c r="E363" s="21">
        <f>IF(B363="","",AVERAGE(B357:B363))</f>
        <v/>
      </c>
      <c r="F363" s="36">
        <f>IF(B363="","",B363-Settings!$B$4)</f>
        <v/>
      </c>
    </row>
    <row r="364">
      <c r="A364" s="35" t="n"/>
      <c r="B364" s="30" t="n"/>
      <c r="C364" s="36">
        <f>IF(OR(B364="",B363=""),"",B364-B363)</f>
        <v/>
      </c>
      <c r="D364" s="21">
        <f>IF(B364="","",B364/Settings!$B$3^2)</f>
        <v/>
      </c>
      <c r="E364" s="21">
        <f>IF(B364="","",AVERAGE(B358:B364))</f>
        <v/>
      </c>
      <c r="F364" s="36">
        <f>IF(B364="","",B364-Settings!$B$4)</f>
        <v/>
      </c>
    </row>
    <row r="365">
      <c r="A365" s="35" t="n"/>
      <c r="B365" s="30" t="n"/>
      <c r="C365" s="36">
        <f>IF(OR(B365="",B364=""),"",B365-B364)</f>
        <v/>
      </c>
      <c r="D365" s="21">
        <f>IF(B365="","",B365/Settings!$B$3^2)</f>
        <v/>
      </c>
      <c r="E365" s="21">
        <f>IF(B365="","",AVERAGE(B359:B365))</f>
        <v/>
      </c>
      <c r="F365" s="36">
        <f>IF(B365="","",B365-Settings!$B$4)</f>
        <v/>
      </c>
    </row>
    <row r="366">
      <c r="A366" s="35" t="n"/>
      <c r="B366" s="30" t="n"/>
      <c r="C366" s="36">
        <f>IF(OR(B366="",B365=""),"",B366-B365)</f>
        <v/>
      </c>
      <c r="D366" s="21">
        <f>IF(B366="","",B366/Settings!$B$3^2)</f>
        <v/>
      </c>
      <c r="E366" s="21">
        <f>IF(B366="","",AVERAGE(B360:B366))</f>
        <v/>
      </c>
      <c r="F366" s="36">
        <f>IF(B366="","",B366-Settings!$B$4)</f>
        <v/>
      </c>
    </row>
    <row r="367">
      <c r="A367" s="35" t="n"/>
      <c r="B367" s="30" t="n"/>
      <c r="C367" s="36">
        <f>IF(OR(B367="",B366=""),"",B367-B366)</f>
        <v/>
      </c>
      <c r="D367" s="21">
        <f>IF(B367="","",B367/Settings!$B$3^2)</f>
        <v/>
      </c>
      <c r="E367" s="21">
        <f>IF(B367="","",AVERAGE(B361:B367))</f>
        <v/>
      </c>
      <c r="F367" s="36">
        <f>IF(B367="","",B367-Settings!$B$4)</f>
        <v/>
      </c>
    </row>
    <row r="368">
      <c r="A368" s="35" t="n"/>
      <c r="B368" s="30" t="n"/>
      <c r="C368" s="36">
        <f>IF(OR(B368="",B367=""),"",B368-B367)</f>
        <v/>
      </c>
      <c r="D368" s="21">
        <f>IF(B368="","",B368/Settings!$B$3^2)</f>
        <v/>
      </c>
      <c r="E368" s="21">
        <f>IF(B368="","",AVERAGE(B362:B368))</f>
        <v/>
      </c>
      <c r="F368" s="36">
        <f>IF(B368="","",B368-Settings!$B$4)</f>
        <v/>
      </c>
    </row>
    <row r="369">
      <c r="A369" s="35" t="n"/>
      <c r="B369" s="30" t="n"/>
      <c r="C369" s="36">
        <f>IF(OR(B369="",B368=""),"",B369-B368)</f>
        <v/>
      </c>
      <c r="D369" s="21">
        <f>IF(B369="","",B369/Settings!$B$3^2)</f>
        <v/>
      </c>
      <c r="E369" s="21">
        <f>IF(B369="","",AVERAGE(B363:B369))</f>
        <v/>
      </c>
      <c r="F369" s="36">
        <f>IF(B369="","",B369-Settings!$B$4)</f>
        <v/>
      </c>
    </row>
    <row r="370">
      <c r="A370" s="35" t="n"/>
      <c r="B370" s="30" t="n"/>
      <c r="C370" s="36">
        <f>IF(OR(B370="",B369=""),"",B370-B369)</f>
        <v/>
      </c>
      <c r="D370" s="21">
        <f>IF(B370="","",B370/Settings!$B$3^2)</f>
        <v/>
      </c>
      <c r="E370" s="21">
        <f>IF(B370="","",AVERAGE(B364:B370))</f>
        <v/>
      </c>
      <c r="F370" s="36">
        <f>IF(B370="","",B370-Settings!$B$4)</f>
        <v/>
      </c>
    </row>
    <row r="371">
      <c r="A371" s="35" t="n"/>
      <c r="B371" s="30" t="n"/>
      <c r="C371" s="36">
        <f>IF(OR(B371="",B370=""),"",B371-B370)</f>
        <v/>
      </c>
      <c r="D371" s="21">
        <f>IF(B371="","",B371/Settings!$B$3^2)</f>
        <v/>
      </c>
      <c r="E371" s="21">
        <f>IF(B371="","",AVERAGE(B365:B371))</f>
        <v/>
      </c>
      <c r="F371" s="36">
        <f>IF(B371="","",B371-Settings!$B$4)</f>
        <v/>
      </c>
    </row>
    <row r="372">
      <c r="A372" s="35" t="n"/>
      <c r="B372" s="30" t="n"/>
      <c r="C372" s="36">
        <f>IF(OR(B372="",B371=""),"",B372-B371)</f>
        <v/>
      </c>
      <c r="D372" s="21">
        <f>IF(B372="","",B372/Settings!$B$3^2)</f>
        <v/>
      </c>
      <c r="E372" s="21">
        <f>IF(B372="","",AVERAGE(B366:B372))</f>
        <v/>
      </c>
      <c r="F372" s="36">
        <f>IF(B372="","",B372-Settings!$B$4)</f>
        <v/>
      </c>
    </row>
    <row r="373">
      <c r="A373" s="35" t="n"/>
      <c r="B373" s="30" t="n"/>
      <c r="C373" s="36">
        <f>IF(OR(B373="",B372=""),"",B373-B372)</f>
        <v/>
      </c>
      <c r="D373" s="21">
        <f>IF(B373="","",B373/Settings!$B$3^2)</f>
        <v/>
      </c>
      <c r="E373" s="21">
        <f>IF(B373="","",AVERAGE(B367:B373))</f>
        <v/>
      </c>
      <c r="F373" s="36">
        <f>IF(B373="","",B373-Settings!$B$4)</f>
        <v/>
      </c>
    </row>
    <row r="374">
      <c r="A374" s="35" t="n"/>
      <c r="B374" s="30" t="n"/>
      <c r="C374" s="36">
        <f>IF(OR(B374="",B373=""),"",B374-B373)</f>
        <v/>
      </c>
      <c r="D374" s="21">
        <f>IF(B374="","",B374/Settings!$B$3^2)</f>
        <v/>
      </c>
      <c r="E374" s="21">
        <f>IF(B374="","",AVERAGE(B368:B374))</f>
        <v/>
      </c>
      <c r="F374" s="36">
        <f>IF(B374="","",B374-Settings!$B$4)</f>
        <v/>
      </c>
    </row>
    <row r="375">
      <c r="A375" s="35" t="n"/>
      <c r="B375" s="30" t="n"/>
      <c r="C375" s="36">
        <f>IF(OR(B375="",B374=""),"",B375-B374)</f>
        <v/>
      </c>
      <c r="D375" s="21">
        <f>IF(B375="","",B375/Settings!$B$3^2)</f>
        <v/>
      </c>
      <c r="E375" s="21">
        <f>IF(B375="","",AVERAGE(B369:B375))</f>
        <v/>
      </c>
      <c r="F375" s="36">
        <f>IF(B375="","",B375-Settings!$B$4)</f>
        <v/>
      </c>
    </row>
    <row r="376">
      <c r="A376" s="35" t="n"/>
      <c r="B376" s="30" t="n"/>
      <c r="C376" s="36">
        <f>IF(OR(B376="",B375=""),"",B376-B375)</f>
        <v/>
      </c>
      <c r="D376" s="21">
        <f>IF(B376="","",B376/Settings!$B$3^2)</f>
        <v/>
      </c>
      <c r="E376" s="21">
        <f>IF(B376="","",AVERAGE(B370:B376))</f>
        <v/>
      </c>
      <c r="F376" s="36">
        <f>IF(B376="","",B376-Settings!$B$4)</f>
        <v/>
      </c>
    </row>
    <row r="377">
      <c r="A377" s="35" t="n"/>
      <c r="B377" s="30" t="n"/>
      <c r="C377" s="36">
        <f>IF(OR(B377="",B376=""),"",B377-B376)</f>
        <v/>
      </c>
      <c r="D377" s="21">
        <f>IF(B377="","",B377/Settings!$B$3^2)</f>
        <v/>
      </c>
      <c r="E377" s="21">
        <f>IF(B377="","",AVERAGE(B371:B377))</f>
        <v/>
      </c>
      <c r="F377" s="36">
        <f>IF(B377="","",B377-Settings!$B$4)</f>
        <v/>
      </c>
    </row>
    <row r="378">
      <c r="A378" s="35" t="n"/>
      <c r="B378" s="30" t="n"/>
      <c r="C378" s="36">
        <f>IF(OR(B378="",B377=""),"",B378-B377)</f>
        <v/>
      </c>
      <c r="D378" s="21">
        <f>IF(B378="","",B378/Settings!$B$3^2)</f>
        <v/>
      </c>
      <c r="E378" s="21">
        <f>IF(B378="","",AVERAGE(B372:B378))</f>
        <v/>
      </c>
      <c r="F378" s="36">
        <f>IF(B378="","",B378-Settings!$B$4)</f>
        <v/>
      </c>
    </row>
    <row r="379">
      <c r="A379" s="35" t="n"/>
      <c r="B379" s="30" t="n"/>
      <c r="C379" s="36">
        <f>IF(OR(B379="",B378=""),"",B379-B378)</f>
        <v/>
      </c>
      <c r="D379" s="21">
        <f>IF(B379="","",B379/Settings!$B$3^2)</f>
        <v/>
      </c>
      <c r="E379" s="21">
        <f>IF(B379="","",AVERAGE(B373:B379))</f>
        <v/>
      </c>
      <c r="F379" s="36">
        <f>IF(B379="","",B379-Settings!$B$4)</f>
        <v/>
      </c>
    </row>
    <row r="380">
      <c r="A380" s="35" t="n"/>
      <c r="B380" s="30" t="n"/>
      <c r="C380" s="36">
        <f>IF(OR(B380="",B379=""),"",B380-B379)</f>
        <v/>
      </c>
      <c r="D380" s="21">
        <f>IF(B380="","",B380/Settings!$B$3^2)</f>
        <v/>
      </c>
      <c r="E380" s="21">
        <f>IF(B380="","",AVERAGE(B374:B380))</f>
        <v/>
      </c>
      <c r="F380" s="36">
        <f>IF(B380="","",B380-Settings!$B$4)</f>
        <v/>
      </c>
    </row>
    <row r="381">
      <c r="A381" s="35" t="n"/>
      <c r="B381" s="30" t="n"/>
      <c r="C381" s="36">
        <f>IF(OR(B381="",B380=""),"",B381-B380)</f>
        <v/>
      </c>
      <c r="D381" s="21">
        <f>IF(B381="","",B381/Settings!$B$3^2)</f>
        <v/>
      </c>
      <c r="E381" s="21">
        <f>IF(B381="","",AVERAGE(B375:B381))</f>
        <v/>
      </c>
      <c r="F381" s="36">
        <f>IF(B381="","",B381-Settings!$B$4)</f>
        <v/>
      </c>
    </row>
    <row r="382">
      <c r="A382" s="35" t="n"/>
      <c r="B382" s="30" t="n"/>
      <c r="C382" s="36">
        <f>IF(OR(B382="",B381=""),"",B382-B381)</f>
        <v/>
      </c>
      <c r="D382" s="21">
        <f>IF(B382="","",B382/Settings!$B$3^2)</f>
        <v/>
      </c>
      <c r="E382" s="21">
        <f>IF(B382="","",AVERAGE(B376:B382))</f>
        <v/>
      </c>
      <c r="F382" s="36">
        <f>IF(B382="","",B382-Settings!$B$4)</f>
        <v/>
      </c>
    </row>
    <row r="383">
      <c r="A383" s="35" t="n"/>
      <c r="B383" s="30" t="n"/>
      <c r="C383" s="36">
        <f>IF(OR(B383="",B382=""),"",B383-B382)</f>
        <v/>
      </c>
      <c r="D383" s="21">
        <f>IF(B383="","",B383/Settings!$B$3^2)</f>
        <v/>
      </c>
      <c r="E383" s="21">
        <f>IF(B383="","",AVERAGE(B377:B383))</f>
        <v/>
      </c>
      <c r="F383" s="36">
        <f>IF(B383="","",B383-Settings!$B$4)</f>
        <v/>
      </c>
    </row>
    <row r="384">
      <c r="A384" s="35" t="n"/>
      <c r="B384" s="30" t="n"/>
      <c r="C384" s="36">
        <f>IF(OR(B384="",B383=""),"",B384-B383)</f>
        <v/>
      </c>
      <c r="D384" s="21">
        <f>IF(B384="","",B384/Settings!$B$3^2)</f>
        <v/>
      </c>
      <c r="E384" s="21">
        <f>IF(B384="","",AVERAGE(B378:B384))</f>
        <v/>
      </c>
      <c r="F384" s="36">
        <f>IF(B384="","",B384-Settings!$B$4)</f>
        <v/>
      </c>
    </row>
    <row r="385">
      <c r="A385" s="35" t="n"/>
      <c r="B385" s="30" t="n"/>
      <c r="C385" s="36">
        <f>IF(OR(B385="",B384=""),"",B385-B384)</f>
        <v/>
      </c>
      <c r="D385" s="21">
        <f>IF(B385="","",B385/Settings!$B$3^2)</f>
        <v/>
      </c>
      <c r="E385" s="21">
        <f>IF(B385="","",AVERAGE(B379:B385))</f>
        <v/>
      </c>
      <c r="F385" s="36">
        <f>IF(B385="","",B385-Settings!$B$4)</f>
        <v/>
      </c>
    </row>
    <row r="386">
      <c r="A386" s="35" t="n"/>
      <c r="B386" s="30" t="n"/>
      <c r="C386" s="36">
        <f>IF(OR(B386="",B385=""),"",B386-B385)</f>
        <v/>
      </c>
      <c r="D386" s="21">
        <f>IF(B386="","",B386/Settings!$B$3^2)</f>
        <v/>
      </c>
      <c r="E386" s="21">
        <f>IF(B386="","",AVERAGE(B380:B386))</f>
        <v/>
      </c>
      <c r="F386" s="36">
        <f>IF(B386="","",B386-Settings!$B$4)</f>
        <v/>
      </c>
    </row>
    <row r="387">
      <c r="A387" s="35" t="n"/>
      <c r="B387" s="30" t="n"/>
      <c r="C387" s="36">
        <f>IF(OR(B387="",B386=""),"",B387-B386)</f>
        <v/>
      </c>
      <c r="D387" s="21">
        <f>IF(B387="","",B387/Settings!$B$3^2)</f>
        <v/>
      </c>
      <c r="E387" s="21">
        <f>IF(B387="","",AVERAGE(B381:B387))</f>
        <v/>
      </c>
      <c r="F387" s="36">
        <f>IF(B387="","",B387-Settings!$B$4)</f>
        <v/>
      </c>
    </row>
    <row r="388">
      <c r="A388" s="35" t="n"/>
      <c r="B388" s="30" t="n"/>
      <c r="C388" s="36">
        <f>IF(OR(B388="",B387=""),"",B388-B387)</f>
        <v/>
      </c>
      <c r="D388" s="21">
        <f>IF(B388="","",B388/Settings!$B$3^2)</f>
        <v/>
      </c>
      <c r="E388" s="21">
        <f>IF(B388="","",AVERAGE(B382:B388))</f>
        <v/>
      </c>
      <c r="F388" s="36">
        <f>IF(B388="","",B388-Settings!$B$4)</f>
        <v/>
      </c>
    </row>
    <row r="389">
      <c r="A389" s="35" t="n"/>
      <c r="B389" s="30" t="n"/>
      <c r="C389" s="36">
        <f>IF(OR(B389="",B388=""),"",B389-B388)</f>
        <v/>
      </c>
      <c r="D389" s="21">
        <f>IF(B389="","",B389/Settings!$B$3^2)</f>
        <v/>
      </c>
      <c r="E389" s="21">
        <f>IF(B389="","",AVERAGE(B383:B389))</f>
        <v/>
      </c>
      <c r="F389" s="36">
        <f>IF(B389="","",B389-Settings!$B$4)</f>
        <v/>
      </c>
    </row>
    <row r="390">
      <c r="A390" s="35" t="n"/>
      <c r="B390" s="30" t="n"/>
      <c r="C390" s="36">
        <f>IF(OR(B390="",B389=""),"",B390-B389)</f>
        <v/>
      </c>
      <c r="D390" s="21">
        <f>IF(B390="","",B390/Settings!$B$3^2)</f>
        <v/>
      </c>
      <c r="E390" s="21">
        <f>IF(B390="","",AVERAGE(B384:B390))</f>
        <v/>
      </c>
      <c r="F390" s="36">
        <f>IF(B390="","",B390-Settings!$B$4)</f>
        <v/>
      </c>
    </row>
    <row r="391">
      <c r="A391" s="35" t="n"/>
      <c r="B391" s="30" t="n"/>
      <c r="C391" s="36">
        <f>IF(OR(B391="",B390=""),"",B391-B390)</f>
        <v/>
      </c>
      <c r="D391" s="21">
        <f>IF(B391="","",B391/Settings!$B$3^2)</f>
        <v/>
      </c>
      <c r="E391" s="21">
        <f>IF(B391="","",AVERAGE(B385:B391))</f>
        <v/>
      </c>
      <c r="F391" s="36">
        <f>IF(B391="","",B391-Settings!$B$4)</f>
        <v/>
      </c>
    </row>
    <row r="392">
      <c r="A392" s="35" t="n"/>
      <c r="B392" s="30" t="n"/>
      <c r="C392" s="36">
        <f>IF(OR(B392="",B391=""),"",B392-B391)</f>
        <v/>
      </c>
      <c r="D392" s="21">
        <f>IF(B392="","",B392/Settings!$B$3^2)</f>
        <v/>
      </c>
      <c r="E392" s="21">
        <f>IF(B392="","",AVERAGE(B386:B392))</f>
        <v/>
      </c>
      <c r="F392" s="36">
        <f>IF(B392="","",B392-Settings!$B$4)</f>
        <v/>
      </c>
    </row>
    <row r="393">
      <c r="A393" s="35" t="n"/>
      <c r="B393" s="30" t="n"/>
      <c r="C393" s="36">
        <f>IF(OR(B393="",B392=""),"",B393-B392)</f>
        <v/>
      </c>
      <c r="D393" s="21">
        <f>IF(B393="","",B393/Settings!$B$3^2)</f>
        <v/>
      </c>
      <c r="E393" s="21">
        <f>IF(B393="","",AVERAGE(B387:B393))</f>
        <v/>
      </c>
      <c r="F393" s="36">
        <f>IF(B393="","",B393-Settings!$B$4)</f>
        <v/>
      </c>
    </row>
    <row r="394">
      <c r="A394" s="35" t="n"/>
      <c r="B394" s="30" t="n"/>
      <c r="C394" s="36">
        <f>IF(OR(B394="",B393=""),"",B394-B393)</f>
        <v/>
      </c>
      <c r="D394" s="21">
        <f>IF(B394="","",B394/Settings!$B$3^2)</f>
        <v/>
      </c>
      <c r="E394" s="21">
        <f>IF(B394="","",AVERAGE(B388:B394))</f>
        <v/>
      </c>
      <c r="F394" s="36">
        <f>IF(B394="","",B394-Settings!$B$4)</f>
        <v/>
      </c>
    </row>
    <row r="395">
      <c r="A395" s="35" t="n"/>
      <c r="B395" s="30" t="n"/>
      <c r="C395" s="36">
        <f>IF(OR(B395="",B394=""),"",B395-B394)</f>
        <v/>
      </c>
      <c r="D395" s="21">
        <f>IF(B395="","",B395/Settings!$B$3^2)</f>
        <v/>
      </c>
      <c r="E395" s="21">
        <f>IF(B395="","",AVERAGE(B389:B395))</f>
        <v/>
      </c>
      <c r="F395" s="36">
        <f>IF(B395="","",B395-Settings!$B$4)</f>
        <v/>
      </c>
    </row>
    <row r="396">
      <c r="A396" s="35" t="n"/>
      <c r="B396" s="30" t="n"/>
      <c r="C396" s="36">
        <f>IF(OR(B396="",B395=""),"",B396-B395)</f>
        <v/>
      </c>
      <c r="D396" s="21">
        <f>IF(B396="","",B396/Settings!$B$3^2)</f>
        <v/>
      </c>
      <c r="E396" s="21">
        <f>IF(B396="","",AVERAGE(B390:B396))</f>
        <v/>
      </c>
      <c r="F396" s="36">
        <f>IF(B396="","",B396-Settings!$B$4)</f>
        <v/>
      </c>
    </row>
    <row r="397">
      <c r="A397" s="35" t="n"/>
      <c r="B397" s="30" t="n"/>
      <c r="C397" s="36">
        <f>IF(OR(B397="",B396=""),"",B397-B396)</f>
        <v/>
      </c>
      <c r="D397" s="21">
        <f>IF(B397="","",B397/Settings!$B$3^2)</f>
        <v/>
      </c>
      <c r="E397" s="21">
        <f>IF(B397="","",AVERAGE(B391:B397))</f>
        <v/>
      </c>
      <c r="F397" s="36">
        <f>IF(B397="","",B397-Settings!$B$4)</f>
        <v/>
      </c>
    </row>
    <row r="398">
      <c r="A398" s="35" t="n"/>
      <c r="B398" s="30" t="n"/>
      <c r="C398" s="36">
        <f>IF(OR(B398="",B397=""),"",B398-B397)</f>
        <v/>
      </c>
      <c r="D398" s="21">
        <f>IF(B398="","",B398/Settings!$B$3^2)</f>
        <v/>
      </c>
      <c r="E398" s="21">
        <f>IF(B398="","",AVERAGE(B392:B398))</f>
        <v/>
      </c>
      <c r="F398" s="36">
        <f>IF(B398="","",B398-Settings!$B$4)</f>
        <v/>
      </c>
    </row>
    <row r="399">
      <c r="A399" s="35" t="n"/>
      <c r="B399" s="30" t="n"/>
      <c r="C399" s="36">
        <f>IF(OR(B399="",B398=""),"",B399-B398)</f>
        <v/>
      </c>
      <c r="D399" s="21">
        <f>IF(B399="","",B399/Settings!$B$3^2)</f>
        <v/>
      </c>
      <c r="E399" s="21">
        <f>IF(B399="","",AVERAGE(B393:B399))</f>
        <v/>
      </c>
      <c r="F399" s="36">
        <f>IF(B399="","",B399-Settings!$B$4)</f>
        <v/>
      </c>
    </row>
    <row r="400">
      <c r="A400" s="35" t="n"/>
      <c r="B400" s="30" t="n"/>
      <c r="C400" s="36">
        <f>IF(OR(B400="",B399=""),"",B400-B399)</f>
        <v/>
      </c>
      <c r="D400" s="21">
        <f>IF(B400="","",B400/Settings!$B$3^2)</f>
        <v/>
      </c>
      <c r="E400" s="21">
        <f>IF(B400="","",AVERAGE(B394:B400))</f>
        <v/>
      </c>
      <c r="F400" s="36">
        <f>IF(B400="","",B400-Settings!$B$4)</f>
        <v/>
      </c>
    </row>
    <row r="401">
      <c r="A401" s="35" t="n"/>
      <c r="B401" s="30" t="n"/>
      <c r="C401" s="36">
        <f>IF(OR(B401="",B400=""),"",B401-B400)</f>
        <v/>
      </c>
      <c r="D401" s="21">
        <f>IF(B401="","",B401/Settings!$B$3^2)</f>
        <v/>
      </c>
      <c r="E401" s="21">
        <f>IF(B401="","",AVERAGE(B395:B401))</f>
        <v/>
      </c>
      <c r="F401" s="36">
        <f>IF(B401="","",B401-Settings!$B$4)</f>
        <v/>
      </c>
    </row>
    <row r="402">
      <c r="A402" s="35" t="n"/>
      <c r="B402" s="30" t="n"/>
      <c r="C402" s="36">
        <f>IF(OR(B402="",B401=""),"",B402-B401)</f>
        <v/>
      </c>
      <c r="D402" s="21">
        <f>IF(B402="","",B402/Settings!$B$3^2)</f>
        <v/>
      </c>
      <c r="E402" s="21">
        <f>IF(B402="","",AVERAGE(B396:B402))</f>
        <v/>
      </c>
      <c r="F402" s="36">
        <f>IF(B402="","",B402-Settings!$B$4)</f>
        <v/>
      </c>
    </row>
    <row r="403">
      <c r="A403" s="35" t="n"/>
      <c r="B403" s="30" t="n"/>
      <c r="C403" s="36">
        <f>IF(OR(B403="",B402=""),"",B403-B402)</f>
        <v/>
      </c>
      <c r="D403" s="21">
        <f>IF(B403="","",B403/Settings!$B$3^2)</f>
        <v/>
      </c>
      <c r="E403" s="21">
        <f>IF(B403="","",AVERAGE(B397:B403))</f>
        <v/>
      </c>
      <c r="F403" s="36">
        <f>IF(B403="","",B403-Settings!$B$4)</f>
        <v/>
      </c>
    </row>
    <row r="404">
      <c r="A404" s="35" t="n"/>
      <c r="B404" s="30" t="n"/>
      <c r="C404" s="36">
        <f>IF(OR(B404="",B403=""),"",B404-B403)</f>
        <v/>
      </c>
      <c r="D404" s="21">
        <f>IF(B404="","",B404/Settings!$B$3^2)</f>
        <v/>
      </c>
      <c r="E404" s="21">
        <f>IF(B404="","",AVERAGE(B398:B404))</f>
        <v/>
      </c>
      <c r="F404" s="36">
        <f>IF(B404="","",B404-Settings!$B$4)</f>
        <v/>
      </c>
    </row>
    <row r="405">
      <c r="A405" s="35" t="n"/>
      <c r="B405" s="30" t="n"/>
      <c r="C405" s="36">
        <f>IF(OR(B405="",B404=""),"",B405-B404)</f>
        <v/>
      </c>
      <c r="D405" s="21">
        <f>IF(B405="","",B405/Settings!$B$3^2)</f>
        <v/>
      </c>
      <c r="E405" s="21">
        <f>IF(B405="","",AVERAGE(B399:B405))</f>
        <v/>
      </c>
      <c r="F405" s="36">
        <f>IF(B405="","",B405-Settings!$B$4)</f>
        <v/>
      </c>
    </row>
    <row r="406">
      <c r="A406" s="35" t="n"/>
      <c r="B406" s="30" t="n"/>
      <c r="C406" s="36">
        <f>IF(OR(B406="",B405=""),"",B406-B405)</f>
        <v/>
      </c>
      <c r="D406" s="21">
        <f>IF(B406="","",B406/Settings!$B$3^2)</f>
        <v/>
      </c>
      <c r="E406" s="21">
        <f>IF(B406="","",AVERAGE(B400:B406))</f>
        <v/>
      </c>
      <c r="F406" s="36">
        <f>IF(B406="","",B406-Settings!$B$4)</f>
        <v/>
      </c>
    </row>
    <row r="407">
      <c r="A407" s="35" t="n"/>
      <c r="B407" s="30" t="n"/>
      <c r="C407" s="36">
        <f>IF(OR(B407="",B406=""),"",B407-B406)</f>
        <v/>
      </c>
      <c r="D407" s="21">
        <f>IF(B407="","",B407/Settings!$B$3^2)</f>
        <v/>
      </c>
      <c r="E407" s="21">
        <f>IF(B407="","",AVERAGE(B401:B407))</f>
        <v/>
      </c>
      <c r="F407" s="36">
        <f>IF(B407="","",B407-Settings!$B$4)</f>
        <v/>
      </c>
    </row>
    <row r="408">
      <c r="A408" s="35" t="n"/>
      <c r="B408" s="30" t="n"/>
      <c r="C408" s="36">
        <f>IF(OR(B408="",B407=""),"",B408-B407)</f>
        <v/>
      </c>
      <c r="D408" s="21">
        <f>IF(B408="","",B408/Settings!$B$3^2)</f>
        <v/>
      </c>
      <c r="E408" s="21">
        <f>IF(B408="","",AVERAGE(B402:B408))</f>
        <v/>
      </c>
      <c r="F408" s="36">
        <f>IF(B408="","",B408-Settings!$B$4)</f>
        <v/>
      </c>
    </row>
    <row r="409">
      <c r="A409" s="35" t="n"/>
      <c r="B409" s="30" t="n"/>
      <c r="C409" s="36">
        <f>IF(OR(B409="",B408=""),"",B409-B408)</f>
        <v/>
      </c>
      <c r="D409" s="21">
        <f>IF(B409="","",B409/Settings!$B$3^2)</f>
        <v/>
      </c>
      <c r="E409" s="21">
        <f>IF(B409="","",AVERAGE(B403:B409))</f>
        <v/>
      </c>
      <c r="F409" s="36">
        <f>IF(B409="","",B409-Settings!$B$4)</f>
        <v/>
      </c>
    </row>
    <row r="410">
      <c r="A410" s="35" t="n"/>
      <c r="B410" s="30" t="n"/>
      <c r="C410" s="36">
        <f>IF(OR(B410="",B409=""),"",B410-B409)</f>
        <v/>
      </c>
      <c r="D410" s="21">
        <f>IF(B410="","",B410/Settings!$B$3^2)</f>
        <v/>
      </c>
      <c r="E410" s="21">
        <f>IF(B410="","",AVERAGE(B404:B410))</f>
        <v/>
      </c>
      <c r="F410" s="36">
        <f>IF(B410="","",B410-Settings!$B$4)</f>
        <v/>
      </c>
    </row>
    <row r="411">
      <c r="A411" s="35" t="n"/>
      <c r="B411" s="30" t="n"/>
      <c r="C411" s="36">
        <f>IF(OR(B411="",B410=""),"",B411-B410)</f>
        <v/>
      </c>
      <c r="D411" s="21">
        <f>IF(B411="","",B411/Settings!$B$3^2)</f>
        <v/>
      </c>
      <c r="E411" s="21">
        <f>IF(B411="","",AVERAGE(B405:B411))</f>
        <v/>
      </c>
      <c r="F411" s="36">
        <f>IF(B411="","",B411-Settings!$B$4)</f>
        <v/>
      </c>
    </row>
    <row r="412">
      <c r="A412" s="35" t="n"/>
      <c r="B412" s="30" t="n"/>
      <c r="C412" s="36">
        <f>IF(OR(B412="",B411=""),"",B412-B411)</f>
        <v/>
      </c>
      <c r="D412" s="21">
        <f>IF(B412="","",B412/Settings!$B$3^2)</f>
        <v/>
      </c>
      <c r="E412" s="21">
        <f>IF(B412="","",AVERAGE(B406:B412))</f>
        <v/>
      </c>
      <c r="F412" s="36">
        <f>IF(B412="","",B412-Settings!$B$4)</f>
        <v/>
      </c>
    </row>
    <row r="413">
      <c r="A413" s="35" t="n"/>
      <c r="B413" s="30" t="n"/>
      <c r="C413" s="36">
        <f>IF(OR(B413="",B412=""),"",B413-B412)</f>
        <v/>
      </c>
      <c r="D413" s="21">
        <f>IF(B413="","",B413/Settings!$B$3^2)</f>
        <v/>
      </c>
      <c r="E413" s="21">
        <f>IF(B413="","",AVERAGE(B407:B413))</f>
        <v/>
      </c>
      <c r="F413" s="36">
        <f>IF(B413="","",B413-Settings!$B$4)</f>
        <v/>
      </c>
    </row>
    <row r="414">
      <c r="A414" s="35" t="n"/>
      <c r="B414" s="30" t="n"/>
      <c r="C414" s="36">
        <f>IF(OR(B414="",B413=""),"",B414-B413)</f>
        <v/>
      </c>
      <c r="D414" s="21">
        <f>IF(B414="","",B414/Settings!$B$3^2)</f>
        <v/>
      </c>
      <c r="E414" s="21">
        <f>IF(B414="","",AVERAGE(B408:B414))</f>
        <v/>
      </c>
      <c r="F414" s="36">
        <f>IF(B414="","",B414-Settings!$B$4)</f>
        <v/>
      </c>
    </row>
    <row r="415">
      <c r="A415" s="35" t="n"/>
      <c r="B415" s="30" t="n"/>
      <c r="C415" s="36">
        <f>IF(OR(B415="",B414=""),"",B415-B414)</f>
        <v/>
      </c>
      <c r="D415" s="21">
        <f>IF(B415="","",B415/Settings!$B$3^2)</f>
        <v/>
      </c>
      <c r="E415" s="21">
        <f>IF(B415="","",AVERAGE(B409:B415))</f>
        <v/>
      </c>
      <c r="F415" s="36">
        <f>IF(B415="","",B415-Settings!$B$4)</f>
        <v/>
      </c>
    </row>
    <row r="416">
      <c r="A416" s="35" t="n"/>
      <c r="B416" s="30" t="n"/>
      <c r="C416" s="36">
        <f>IF(OR(B416="",B415=""),"",B416-B415)</f>
        <v/>
      </c>
      <c r="D416" s="21">
        <f>IF(B416="","",B416/Settings!$B$3^2)</f>
        <v/>
      </c>
      <c r="E416" s="21">
        <f>IF(B416="","",AVERAGE(B410:B416))</f>
        <v/>
      </c>
      <c r="F416" s="36">
        <f>IF(B416="","",B416-Settings!$B$4)</f>
        <v/>
      </c>
    </row>
    <row r="417">
      <c r="A417" s="35" t="n"/>
      <c r="B417" s="30" t="n"/>
      <c r="C417" s="36">
        <f>IF(OR(B417="",B416=""),"",B417-B416)</f>
        <v/>
      </c>
      <c r="D417" s="21">
        <f>IF(B417="","",B417/Settings!$B$3^2)</f>
        <v/>
      </c>
      <c r="E417" s="21">
        <f>IF(B417="","",AVERAGE(B411:B417))</f>
        <v/>
      </c>
      <c r="F417" s="36">
        <f>IF(B417="","",B417-Settings!$B$4)</f>
        <v/>
      </c>
    </row>
    <row r="418">
      <c r="A418" s="35" t="n"/>
      <c r="B418" s="30" t="n"/>
      <c r="C418" s="36">
        <f>IF(OR(B418="",B417=""),"",B418-B417)</f>
        <v/>
      </c>
      <c r="D418" s="21">
        <f>IF(B418="","",B418/Settings!$B$3^2)</f>
        <v/>
      </c>
      <c r="E418" s="21">
        <f>IF(B418="","",AVERAGE(B412:B418))</f>
        <v/>
      </c>
      <c r="F418" s="36">
        <f>IF(B418="","",B418-Settings!$B$4)</f>
        <v/>
      </c>
    </row>
    <row r="419">
      <c r="A419" s="35" t="n"/>
      <c r="B419" s="30" t="n"/>
      <c r="C419" s="36">
        <f>IF(OR(B419="",B418=""),"",B419-B418)</f>
        <v/>
      </c>
      <c r="D419" s="21">
        <f>IF(B419="","",B419/Settings!$B$3^2)</f>
        <v/>
      </c>
      <c r="E419" s="21">
        <f>IF(B419="","",AVERAGE(B413:B419))</f>
        <v/>
      </c>
      <c r="F419" s="36">
        <f>IF(B419="","",B419-Settings!$B$4)</f>
        <v/>
      </c>
    </row>
    <row r="420">
      <c r="A420" s="35" t="n"/>
      <c r="B420" s="30" t="n"/>
      <c r="C420" s="36">
        <f>IF(OR(B420="",B419=""),"",B420-B419)</f>
        <v/>
      </c>
      <c r="D420" s="21">
        <f>IF(B420="","",B420/Settings!$B$3^2)</f>
        <v/>
      </c>
      <c r="E420" s="21">
        <f>IF(B420="","",AVERAGE(B414:B420))</f>
        <v/>
      </c>
      <c r="F420" s="36">
        <f>IF(B420="","",B420-Settings!$B$4)</f>
        <v/>
      </c>
    </row>
    <row r="421">
      <c r="A421" s="35" t="n"/>
      <c r="B421" s="30" t="n"/>
      <c r="C421" s="36">
        <f>IF(OR(B421="",B420=""),"",B421-B420)</f>
        <v/>
      </c>
      <c r="D421" s="21">
        <f>IF(B421="","",B421/Settings!$B$3^2)</f>
        <v/>
      </c>
      <c r="E421" s="21">
        <f>IF(B421="","",AVERAGE(B415:B421))</f>
        <v/>
      </c>
      <c r="F421" s="36">
        <f>IF(B421="","",B421-Settings!$B$4)</f>
        <v/>
      </c>
    </row>
    <row r="422">
      <c r="A422" s="35" t="n"/>
      <c r="B422" s="30" t="n"/>
      <c r="C422" s="36">
        <f>IF(OR(B422="",B421=""),"",B422-B421)</f>
        <v/>
      </c>
      <c r="D422" s="21">
        <f>IF(B422="","",B422/Settings!$B$3^2)</f>
        <v/>
      </c>
      <c r="E422" s="21">
        <f>IF(B422="","",AVERAGE(B416:B422))</f>
        <v/>
      </c>
      <c r="F422" s="36">
        <f>IF(B422="","",B422-Settings!$B$4)</f>
        <v/>
      </c>
    </row>
    <row r="423">
      <c r="A423" s="35" t="n"/>
      <c r="B423" s="30" t="n"/>
      <c r="C423" s="36">
        <f>IF(OR(B423="",B422=""),"",B423-B422)</f>
        <v/>
      </c>
      <c r="D423" s="21">
        <f>IF(B423="","",B423/Settings!$B$3^2)</f>
        <v/>
      </c>
      <c r="E423" s="21">
        <f>IF(B423="","",AVERAGE(B417:B423))</f>
        <v/>
      </c>
      <c r="F423" s="36">
        <f>IF(B423="","",B423-Settings!$B$4)</f>
        <v/>
      </c>
    </row>
    <row r="424">
      <c r="A424" s="35" t="n"/>
      <c r="B424" s="30" t="n"/>
      <c r="C424" s="36">
        <f>IF(OR(B424="",B423=""),"",B424-B423)</f>
        <v/>
      </c>
      <c r="D424" s="21">
        <f>IF(B424="","",B424/Settings!$B$3^2)</f>
        <v/>
      </c>
      <c r="E424" s="21">
        <f>IF(B424="","",AVERAGE(B418:B424))</f>
        <v/>
      </c>
      <c r="F424" s="36">
        <f>IF(B424="","",B424-Settings!$B$4)</f>
        <v/>
      </c>
    </row>
    <row r="425">
      <c r="A425" s="35" t="n"/>
      <c r="B425" s="30" t="n"/>
      <c r="C425" s="36">
        <f>IF(OR(B425="",B424=""),"",B425-B424)</f>
        <v/>
      </c>
      <c r="D425" s="21">
        <f>IF(B425="","",B425/Settings!$B$3^2)</f>
        <v/>
      </c>
      <c r="E425" s="21">
        <f>IF(B425="","",AVERAGE(B419:B425))</f>
        <v/>
      </c>
      <c r="F425" s="36">
        <f>IF(B425="","",B425-Settings!$B$4)</f>
        <v/>
      </c>
    </row>
    <row r="426">
      <c r="A426" s="35" t="n"/>
      <c r="B426" s="30" t="n"/>
      <c r="C426" s="36">
        <f>IF(OR(B426="",B425=""),"",B426-B425)</f>
        <v/>
      </c>
      <c r="D426" s="21">
        <f>IF(B426="","",B426/Settings!$B$3^2)</f>
        <v/>
      </c>
      <c r="E426" s="21">
        <f>IF(B426="","",AVERAGE(B420:B426))</f>
        <v/>
      </c>
      <c r="F426" s="36">
        <f>IF(B426="","",B426-Settings!$B$4)</f>
        <v/>
      </c>
    </row>
    <row r="427">
      <c r="A427" s="35" t="n"/>
      <c r="B427" s="30" t="n"/>
      <c r="C427" s="36">
        <f>IF(OR(B427="",B426=""),"",B427-B426)</f>
        <v/>
      </c>
      <c r="D427" s="21">
        <f>IF(B427="","",B427/Settings!$B$3^2)</f>
        <v/>
      </c>
      <c r="E427" s="21">
        <f>IF(B427="","",AVERAGE(B421:B427))</f>
        <v/>
      </c>
      <c r="F427" s="36">
        <f>IF(B427="","",B427-Settings!$B$4)</f>
        <v/>
      </c>
    </row>
    <row r="428">
      <c r="A428" s="35" t="n"/>
      <c r="B428" s="30" t="n"/>
      <c r="C428" s="36">
        <f>IF(OR(B428="",B427=""),"",B428-B427)</f>
        <v/>
      </c>
      <c r="D428" s="21">
        <f>IF(B428="","",B428/Settings!$B$3^2)</f>
        <v/>
      </c>
      <c r="E428" s="21">
        <f>IF(B428="","",AVERAGE(B422:B428))</f>
        <v/>
      </c>
      <c r="F428" s="36">
        <f>IF(B428="","",B428-Settings!$B$4)</f>
        <v/>
      </c>
    </row>
    <row r="429">
      <c r="A429" s="35" t="n"/>
      <c r="B429" s="30" t="n"/>
      <c r="C429" s="36">
        <f>IF(OR(B429="",B428=""),"",B429-B428)</f>
        <v/>
      </c>
      <c r="D429" s="21">
        <f>IF(B429="","",B429/Settings!$B$3^2)</f>
        <v/>
      </c>
      <c r="E429" s="21">
        <f>IF(B429="","",AVERAGE(B423:B429))</f>
        <v/>
      </c>
      <c r="F429" s="36">
        <f>IF(B429="","",B429-Settings!$B$4)</f>
        <v/>
      </c>
    </row>
    <row r="430">
      <c r="A430" s="35" t="n"/>
      <c r="B430" s="30" t="n"/>
      <c r="C430" s="36">
        <f>IF(OR(B430="",B429=""),"",B430-B429)</f>
        <v/>
      </c>
      <c r="D430" s="21">
        <f>IF(B430="","",B430/Settings!$B$3^2)</f>
        <v/>
      </c>
      <c r="E430" s="21">
        <f>IF(B430="","",AVERAGE(B424:B430))</f>
        <v/>
      </c>
      <c r="F430" s="36">
        <f>IF(B430="","",B430-Settings!$B$4)</f>
        <v/>
      </c>
    </row>
    <row r="431">
      <c r="A431" s="35" t="n"/>
      <c r="B431" s="30" t="n"/>
      <c r="C431" s="36">
        <f>IF(OR(B431="",B430=""),"",B431-B430)</f>
        <v/>
      </c>
      <c r="D431" s="21">
        <f>IF(B431="","",B431/Settings!$B$3^2)</f>
        <v/>
      </c>
      <c r="E431" s="21">
        <f>IF(B431="","",AVERAGE(B425:B431))</f>
        <v/>
      </c>
      <c r="F431" s="36">
        <f>IF(B431="","",B431-Settings!$B$4)</f>
        <v/>
      </c>
    </row>
    <row r="432">
      <c r="A432" s="35" t="n"/>
      <c r="B432" s="30" t="n"/>
      <c r="C432" s="36">
        <f>IF(OR(B432="",B431=""),"",B432-B431)</f>
        <v/>
      </c>
      <c r="D432" s="21">
        <f>IF(B432="","",B432/Settings!$B$3^2)</f>
        <v/>
      </c>
      <c r="E432" s="21">
        <f>IF(B432="","",AVERAGE(B426:B432))</f>
        <v/>
      </c>
      <c r="F432" s="36">
        <f>IF(B432="","",B432-Settings!$B$4)</f>
        <v/>
      </c>
    </row>
    <row r="433">
      <c r="A433" s="35" t="n"/>
      <c r="B433" s="30" t="n"/>
      <c r="C433" s="36">
        <f>IF(OR(B433="",B432=""),"",B433-B432)</f>
        <v/>
      </c>
      <c r="D433" s="21">
        <f>IF(B433="","",B433/Settings!$B$3^2)</f>
        <v/>
      </c>
      <c r="E433" s="21">
        <f>IF(B433="","",AVERAGE(B427:B433))</f>
        <v/>
      </c>
      <c r="F433" s="36">
        <f>IF(B433="","",B433-Settings!$B$4)</f>
        <v/>
      </c>
    </row>
    <row r="434">
      <c r="A434" s="35" t="n"/>
      <c r="B434" s="30" t="n"/>
      <c r="C434" s="36">
        <f>IF(OR(B434="",B433=""),"",B434-B433)</f>
        <v/>
      </c>
      <c r="D434" s="21">
        <f>IF(B434="","",B434/Settings!$B$3^2)</f>
        <v/>
      </c>
      <c r="E434" s="21">
        <f>IF(B434="","",AVERAGE(B428:B434))</f>
        <v/>
      </c>
      <c r="F434" s="36">
        <f>IF(B434="","",B434-Settings!$B$4)</f>
        <v/>
      </c>
    </row>
    <row r="435">
      <c r="A435" s="35" t="n"/>
      <c r="B435" s="30" t="n"/>
      <c r="C435" s="36">
        <f>IF(OR(B435="",B434=""),"",B435-B434)</f>
        <v/>
      </c>
      <c r="D435" s="21">
        <f>IF(B435="","",B435/Settings!$B$3^2)</f>
        <v/>
      </c>
      <c r="E435" s="21">
        <f>IF(B435="","",AVERAGE(B429:B435))</f>
        <v/>
      </c>
      <c r="F435" s="36">
        <f>IF(B435="","",B435-Settings!$B$4)</f>
        <v/>
      </c>
    </row>
    <row r="436">
      <c r="A436" s="35" t="n"/>
      <c r="B436" s="30" t="n"/>
      <c r="C436" s="36">
        <f>IF(OR(B436="",B435=""),"",B436-B435)</f>
        <v/>
      </c>
      <c r="D436" s="21">
        <f>IF(B436="","",B436/Settings!$B$3^2)</f>
        <v/>
      </c>
      <c r="E436" s="21">
        <f>IF(B436="","",AVERAGE(B430:B436))</f>
        <v/>
      </c>
      <c r="F436" s="36">
        <f>IF(B436="","",B436-Settings!$B$4)</f>
        <v/>
      </c>
    </row>
    <row r="437">
      <c r="A437" s="35" t="n"/>
      <c r="B437" s="30" t="n"/>
      <c r="C437" s="36">
        <f>IF(OR(B437="",B436=""),"",B437-B436)</f>
        <v/>
      </c>
      <c r="D437" s="21">
        <f>IF(B437="","",B437/Settings!$B$3^2)</f>
        <v/>
      </c>
      <c r="E437" s="21">
        <f>IF(B437="","",AVERAGE(B431:B437))</f>
        <v/>
      </c>
      <c r="F437" s="36">
        <f>IF(B437="","",B437-Settings!$B$4)</f>
        <v/>
      </c>
    </row>
    <row r="438">
      <c r="A438" s="35" t="n"/>
      <c r="B438" s="30" t="n"/>
      <c r="C438" s="36">
        <f>IF(OR(B438="",B437=""),"",B438-B437)</f>
        <v/>
      </c>
      <c r="D438" s="21">
        <f>IF(B438="","",B438/Settings!$B$3^2)</f>
        <v/>
      </c>
      <c r="E438" s="21">
        <f>IF(B438="","",AVERAGE(B432:B438))</f>
        <v/>
      </c>
      <c r="F438" s="36">
        <f>IF(B438="","",B438-Settings!$B$4)</f>
        <v/>
      </c>
    </row>
    <row r="439">
      <c r="A439" s="35" t="n"/>
      <c r="B439" s="30" t="n"/>
      <c r="C439" s="36">
        <f>IF(OR(B439="",B438=""),"",B439-B438)</f>
        <v/>
      </c>
      <c r="D439" s="21">
        <f>IF(B439="","",B439/Settings!$B$3^2)</f>
        <v/>
      </c>
      <c r="E439" s="21">
        <f>IF(B439="","",AVERAGE(B433:B439))</f>
        <v/>
      </c>
      <c r="F439" s="36">
        <f>IF(B439="","",B439-Settings!$B$4)</f>
        <v/>
      </c>
    </row>
    <row r="440">
      <c r="A440" s="35" t="n"/>
      <c r="B440" s="30" t="n"/>
      <c r="C440" s="36">
        <f>IF(OR(B440="",B439=""),"",B440-B439)</f>
        <v/>
      </c>
      <c r="D440" s="21">
        <f>IF(B440="","",B440/Settings!$B$3^2)</f>
        <v/>
      </c>
      <c r="E440" s="21">
        <f>IF(B440="","",AVERAGE(B434:B440))</f>
        <v/>
      </c>
      <c r="F440" s="36">
        <f>IF(B440="","",B440-Settings!$B$4)</f>
        <v/>
      </c>
    </row>
    <row r="441">
      <c r="A441" s="35" t="n"/>
      <c r="B441" s="30" t="n"/>
      <c r="C441" s="36">
        <f>IF(OR(B441="",B440=""),"",B441-B440)</f>
        <v/>
      </c>
      <c r="D441" s="21">
        <f>IF(B441="","",B441/Settings!$B$3^2)</f>
        <v/>
      </c>
      <c r="E441" s="21">
        <f>IF(B441="","",AVERAGE(B435:B441))</f>
        <v/>
      </c>
      <c r="F441" s="36">
        <f>IF(B441="","",B441-Settings!$B$4)</f>
        <v/>
      </c>
    </row>
    <row r="442">
      <c r="A442" s="35" t="n"/>
      <c r="B442" s="30" t="n"/>
      <c r="C442" s="36">
        <f>IF(OR(B442="",B441=""),"",B442-B441)</f>
        <v/>
      </c>
      <c r="D442" s="21">
        <f>IF(B442="","",B442/Settings!$B$3^2)</f>
        <v/>
      </c>
      <c r="E442" s="21">
        <f>IF(B442="","",AVERAGE(B436:B442))</f>
        <v/>
      </c>
      <c r="F442" s="36">
        <f>IF(B442="","",B442-Settings!$B$4)</f>
        <v/>
      </c>
    </row>
    <row r="443">
      <c r="A443" s="35" t="n"/>
      <c r="B443" s="30" t="n"/>
      <c r="C443" s="36">
        <f>IF(OR(B443="",B442=""),"",B443-B442)</f>
        <v/>
      </c>
      <c r="D443" s="21">
        <f>IF(B443="","",B443/Settings!$B$3^2)</f>
        <v/>
      </c>
      <c r="E443" s="21">
        <f>IF(B443="","",AVERAGE(B437:B443))</f>
        <v/>
      </c>
      <c r="F443" s="36">
        <f>IF(B443="","",B443-Settings!$B$4)</f>
        <v/>
      </c>
    </row>
    <row r="444">
      <c r="A444" s="35" t="n"/>
      <c r="B444" s="30" t="n"/>
      <c r="C444" s="36">
        <f>IF(OR(B444="",B443=""),"",B444-B443)</f>
        <v/>
      </c>
      <c r="D444" s="21">
        <f>IF(B444="","",B444/Settings!$B$3^2)</f>
        <v/>
      </c>
      <c r="E444" s="21">
        <f>IF(B444="","",AVERAGE(B438:B444))</f>
        <v/>
      </c>
      <c r="F444" s="36">
        <f>IF(B444="","",B444-Settings!$B$4)</f>
        <v/>
      </c>
    </row>
    <row r="445">
      <c r="A445" s="35" t="n"/>
      <c r="B445" s="30" t="n"/>
      <c r="C445" s="36">
        <f>IF(OR(B445="",B444=""),"",B445-B444)</f>
        <v/>
      </c>
      <c r="D445" s="21">
        <f>IF(B445="","",B445/Settings!$B$3^2)</f>
        <v/>
      </c>
      <c r="E445" s="21">
        <f>IF(B445="","",AVERAGE(B439:B445))</f>
        <v/>
      </c>
      <c r="F445" s="36">
        <f>IF(B445="","",B445-Settings!$B$4)</f>
        <v/>
      </c>
    </row>
    <row r="446">
      <c r="A446" s="35" t="n"/>
      <c r="B446" s="30" t="n"/>
      <c r="C446" s="36">
        <f>IF(OR(B446="",B445=""),"",B446-B445)</f>
        <v/>
      </c>
      <c r="D446" s="21">
        <f>IF(B446="","",B446/Settings!$B$3^2)</f>
        <v/>
      </c>
      <c r="E446" s="21">
        <f>IF(B446="","",AVERAGE(B440:B446))</f>
        <v/>
      </c>
      <c r="F446" s="36">
        <f>IF(B446="","",B446-Settings!$B$4)</f>
        <v/>
      </c>
    </row>
    <row r="447">
      <c r="A447" s="35" t="n"/>
      <c r="B447" s="30" t="n"/>
      <c r="C447" s="36">
        <f>IF(OR(B447="",B446=""),"",B447-B446)</f>
        <v/>
      </c>
      <c r="D447" s="21">
        <f>IF(B447="","",B447/Settings!$B$3^2)</f>
        <v/>
      </c>
      <c r="E447" s="21">
        <f>IF(B447="","",AVERAGE(B441:B447))</f>
        <v/>
      </c>
      <c r="F447" s="36">
        <f>IF(B447="","",B447-Settings!$B$4)</f>
        <v/>
      </c>
    </row>
    <row r="448">
      <c r="A448" s="35" t="n"/>
      <c r="B448" s="30" t="n"/>
      <c r="C448" s="36">
        <f>IF(OR(B448="",B447=""),"",B448-B447)</f>
        <v/>
      </c>
      <c r="D448" s="21">
        <f>IF(B448="","",B448/Settings!$B$3^2)</f>
        <v/>
      </c>
      <c r="E448" s="21">
        <f>IF(B448="","",AVERAGE(B442:B448))</f>
        <v/>
      </c>
      <c r="F448" s="36">
        <f>IF(B448="","",B448-Settings!$B$4)</f>
        <v/>
      </c>
    </row>
    <row r="449">
      <c r="A449" s="35" t="n"/>
      <c r="B449" s="30" t="n"/>
      <c r="C449" s="36">
        <f>IF(OR(B449="",B448=""),"",B449-B448)</f>
        <v/>
      </c>
      <c r="D449" s="21">
        <f>IF(B449="","",B449/Settings!$B$3^2)</f>
        <v/>
      </c>
      <c r="E449" s="21">
        <f>IF(B449="","",AVERAGE(B443:B449))</f>
        <v/>
      </c>
      <c r="F449" s="36">
        <f>IF(B449="","",B449-Settings!$B$4)</f>
        <v/>
      </c>
    </row>
    <row r="450">
      <c r="A450" s="35" t="n"/>
      <c r="B450" s="30" t="n"/>
      <c r="C450" s="36">
        <f>IF(OR(B450="",B449=""),"",B450-B449)</f>
        <v/>
      </c>
      <c r="D450" s="21">
        <f>IF(B450="","",B450/Settings!$B$3^2)</f>
        <v/>
      </c>
      <c r="E450" s="21">
        <f>IF(B450="","",AVERAGE(B444:B450))</f>
        <v/>
      </c>
      <c r="F450" s="36">
        <f>IF(B450="","",B450-Settings!$B$4)</f>
        <v/>
      </c>
    </row>
    <row r="451">
      <c r="A451" s="35" t="n"/>
      <c r="B451" s="30" t="n"/>
      <c r="C451" s="36">
        <f>IF(OR(B451="",B450=""),"",B451-B450)</f>
        <v/>
      </c>
      <c r="D451" s="21">
        <f>IF(B451="","",B451/Settings!$B$3^2)</f>
        <v/>
      </c>
      <c r="E451" s="21">
        <f>IF(B451="","",AVERAGE(B445:B451))</f>
        <v/>
      </c>
      <c r="F451" s="36">
        <f>IF(B451="","",B451-Settings!$B$4)</f>
        <v/>
      </c>
    </row>
    <row r="452">
      <c r="A452" s="35" t="n"/>
      <c r="B452" s="30" t="n"/>
      <c r="C452" s="36">
        <f>IF(OR(B452="",B451=""),"",B452-B451)</f>
        <v/>
      </c>
      <c r="D452" s="21">
        <f>IF(B452="","",B452/Settings!$B$3^2)</f>
        <v/>
      </c>
      <c r="E452" s="21">
        <f>IF(B452="","",AVERAGE(B446:B452))</f>
        <v/>
      </c>
      <c r="F452" s="36">
        <f>IF(B452="","",B452-Settings!$B$4)</f>
        <v/>
      </c>
    </row>
    <row r="453">
      <c r="A453" s="35" t="n"/>
      <c r="B453" s="30" t="n"/>
      <c r="C453" s="36">
        <f>IF(OR(B453="",B452=""),"",B453-B452)</f>
        <v/>
      </c>
      <c r="D453" s="21">
        <f>IF(B453="","",B453/Settings!$B$3^2)</f>
        <v/>
      </c>
      <c r="E453" s="21">
        <f>IF(B453="","",AVERAGE(B447:B453))</f>
        <v/>
      </c>
      <c r="F453" s="36">
        <f>IF(B453="","",B453-Settings!$B$4)</f>
        <v/>
      </c>
    </row>
    <row r="454">
      <c r="A454" s="35" t="n"/>
      <c r="B454" s="30" t="n"/>
      <c r="C454" s="36">
        <f>IF(OR(B454="",B453=""),"",B454-B453)</f>
        <v/>
      </c>
      <c r="D454" s="21">
        <f>IF(B454="","",B454/Settings!$B$3^2)</f>
        <v/>
      </c>
      <c r="E454" s="21">
        <f>IF(B454="","",AVERAGE(B448:B454))</f>
        <v/>
      </c>
      <c r="F454" s="36">
        <f>IF(B454="","",B454-Settings!$B$4)</f>
        <v/>
      </c>
    </row>
    <row r="455">
      <c r="A455" s="35" t="n"/>
      <c r="B455" s="30" t="n"/>
      <c r="C455" s="36">
        <f>IF(OR(B455="",B454=""),"",B455-B454)</f>
        <v/>
      </c>
      <c r="D455" s="21">
        <f>IF(B455="","",B455/Settings!$B$3^2)</f>
        <v/>
      </c>
      <c r="E455" s="21">
        <f>IF(B455="","",AVERAGE(B449:B455))</f>
        <v/>
      </c>
      <c r="F455" s="36">
        <f>IF(B455="","",B455-Settings!$B$4)</f>
        <v/>
      </c>
    </row>
    <row r="456">
      <c r="A456" s="35" t="n"/>
      <c r="B456" s="30" t="n"/>
      <c r="C456" s="36">
        <f>IF(OR(B456="",B455=""),"",B456-B455)</f>
        <v/>
      </c>
      <c r="D456" s="21">
        <f>IF(B456="","",B456/Settings!$B$3^2)</f>
        <v/>
      </c>
      <c r="E456" s="21">
        <f>IF(B456="","",AVERAGE(B450:B456))</f>
        <v/>
      </c>
      <c r="F456" s="36">
        <f>IF(B456="","",B456-Settings!$B$4)</f>
        <v/>
      </c>
    </row>
    <row r="457">
      <c r="A457" s="35" t="n"/>
      <c r="B457" s="30" t="n"/>
      <c r="C457" s="36">
        <f>IF(OR(B457="",B456=""),"",B457-B456)</f>
        <v/>
      </c>
      <c r="D457" s="21">
        <f>IF(B457="","",B457/Settings!$B$3^2)</f>
        <v/>
      </c>
      <c r="E457" s="21">
        <f>IF(B457="","",AVERAGE(B451:B457))</f>
        <v/>
      </c>
      <c r="F457" s="36">
        <f>IF(B457="","",B457-Settings!$B$4)</f>
        <v/>
      </c>
    </row>
    <row r="458">
      <c r="A458" s="35" t="n"/>
      <c r="B458" s="30" t="n"/>
      <c r="C458" s="36">
        <f>IF(OR(B458="",B457=""),"",B458-B457)</f>
        <v/>
      </c>
      <c r="D458" s="21">
        <f>IF(B458="","",B458/Settings!$B$3^2)</f>
        <v/>
      </c>
      <c r="E458" s="21">
        <f>IF(B458="","",AVERAGE(B452:B458))</f>
        <v/>
      </c>
      <c r="F458" s="36">
        <f>IF(B458="","",B458-Settings!$B$4)</f>
        <v/>
      </c>
    </row>
    <row r="459">
      <c r="A459" s="35" t="n"/>
      <c r="B459" s="30" t="n"/>
      <c r="C459" s="36">
        <f>IF(OR(B459="",B458=""),"",B459-B458)</f>
        <v/>
      </c>
      <c r="D459" s="21">
        <f>IF(B459="","",B459/Settings!$B$3^2)</f>
        <v/>
      </c>
      <c r="E459" s="21">
        <f>IF(B459="","",AVERAGE(B453:B459))</f>
        <v/>
      </c>
      <c r="F459" s="36">
        <f>IF(B459="","",B459-Settings!$B$4)</f>
        <v/>
      </c>
    </row>
    <row r="460">
      <c r="A460" s="35" t="n"/>
      <c r="B460" s="30" t="n"/>
      <c r="C460" s="36">
        <f>IF(OR(B460="",B459=""),"",B460-B459)</f>
        <v/>
      </c>
      <c r="D460" s="21">
        <f>IF(B460="","",B460/Settings!$B$3^2)</f>
        <v/>
      </c>
      <c r="E460" s="21">
        <f>IF(B460="","",AVERAGE(B454:B460))</f>
        <v/>
      </c>
      <c r="F460" s="36">
        <f>IF(B460="","",B460-Settings!$B$4)</f>
        <v/>
      </c>
    </row>
    <row r="461">
      <c r="A461" s="35" t="n"/>
      <c r="B461" s="30" t="n"/>
      <c r="C461" s="36">
        <f>IF(OR(B461="",B460=""),"",B461-B460)</f>
        <v/>
      </c>
      <c r="D461" s="21">
        <f>IF(B461="","",B461/Settings!$B$3^2)</f>
        <v/>
      </c>
      <c r="E461" s="21">
        <f>IF(B461="","",AVERAGE(B455:B461))</f>
        <v/>
      </c>
      <c r="F461" s="36">
        <f>IF(B461="","",B461-Settings!$B$4)</f>
        <v/>
      </c>
    </row>
    <row r="462">
      <c r="A462" s="35" t="n"/>
      <c r="B462" s="30" t="n"/>
      <c r="C462" s="36">
        <f>IF(OR(B462="",B461=""),"",B462-B461)</f>
        <v/>
      </c>
      <c r="D462" s="21">
        <f>IF(B462="","",B462/Settings!$B$3^2)</f>
        <v/>
      </c>
      <c r="E462" s="21">
        <f>IF(B462="","",AVERAGE(B456:B462))</f>
        <v/>
      </c>
      <c r="F462" s="36">
        <f>IF(B462="","",B462-Settings!$B$4)</f>
        <v/>
      </c>
    </row>
    <row r="463">
      <c r="A463" s="35" t="n"/>
      <c r="B463" s="30" t="n"/>
      <c r="C463" s="36">
        <f>IF(OR(B463="",B462=""),"",B463-B462)</f>
        <v/>
      </c>
      <c r="D463" s="21">
        <f>IF(B463="","",B463/Settings!$B$3^2)</f>
        <v/>
      </c>
      <c r="E463" s="21">
        <f>IF(B463="","",AVERAGE(B457:B463))</f>
        <v/>
      </c>
      <c r="F463" s="36">
        <f>IF(B463="","",B463-Settings!$B$4)</f>
        <v/>
      </c>
    </row>
    <row r="464">
      <c r="A464" s="35" t="n"/>
      <c r="B464" s="30" t="n"/>
      <c r="C464" s="36">
        <f>IF(OR(B464="",B463=""),"",B464-B463)</f>
        <v/>
      </c>
      <c r="D464" s="21">
        <f>IF(B464="","",B464/Settings!$B$3^2)</f>
        <v/>
      </c>
      <c r="E464" s="21">
        <f>IF(B464="","",AVERAGE(B458:B464))</f>
        <v/>
      </c>
      <c r="F464" s="36">
        <f>IF(B464="","",B464-Settings!$B$4)</f>
        <v/>
      </c>
    </row>
    <row r="465">
      <c r="A465" s="35" t="n"/>
      <c r="B465" s="30" t="n"/>
      <c r="C465" s="36">
        <f>IF(OR(B465="",B464=""),"",B465-B464)</f>
        <v/>
      </c>
      <c r="D465" s="21">
        <f>IF(B465="","",B465/Settings!$B$3^2)</f>
        <v/>
      </c>
      <c r="E465" s="21">
        <f>IF(B465="","",AVERAGE(B459:B465))</f>
        <v/>
      </c>
      <c r="F465" s="36">
        <f>IF(B465="","",B465-Settings!$B$4)</f>
        <v/>
      </c>
    </row>
    <row r="466">
      <c r="A466" s="35" t="n"/>
      <c r="B466" s="30" t="n"/>
      <c r="C466" s="36">
        <f>IF(OR(B466="",B465=""),"",B466-B465)</f>
        <v/>
      </c>
      <c r="D466" s="21">
        <f>IF(B466="","",B466/Settings!$B$3^2)</f>
        <v/>
      </c>
      <c r="E466" s="21">
        <f>IF(B466="","",AVERAGE(B460:B466))</f>
        <v/>
      </c>
      <c r="F466" s="36">
        <f>IF(B466="","",B466-Settings!$B$4)</f>
        <v/>
      </c>
    </row>
    <row r="467">
      <c r="A467" s="35" t="n"/>
      <c r="B467" s="30" t="n"/>
      <c r="C467" s="36">
        <f>IF(OR(B467="",B466=""),"",B467-B466)</f>
        <v/>
      </c>
      <c r="D467" s="21">
        <f>IF(B467="","",B467/Settings!$B$3^2)</f>
        <v/>
      </c>
      <c r="E467" s="21">
        <f>IF(B467="","",AVERAGE(B461:B467))</f>
        <v/>
      </c>
      <c r="F467" s="36">
        <f>IF(B467="","",B467-Settings!$B$4)</f>
        <v/>
      </c>
    </row>
    <row r="468">
      <c r="A468" s="35" t="n"/>
      <c r="B468" s="30" t="n"/>
      <c r="C468" s="36">
        <f>IF(OR(B468="",B467=""),"",B468-B467)</f>
        <v/>
      </c>
      <c r="D468" s="21">
        <f>IF(B468="","",B468/Settings!$B$3^2)</f>
        <v/>
      </c>
      <c r="E468" s="21">
        <f>IF(B468="","",AVERAGE(B462:B468))</f>
        <v/>
      </c>
      <c r="F468" s="36">
        <f>IF(B468="","",B468-Settings!$B$4)</f>
        <v/>
      </c>
    </row>
    <row r="469">
      <c r="A469" s="35" t="n"/>
      <c r="B469" s="30" t="n"/>
      <c r="C469" s="36">
        <f>IF(OR(B469="",B468=""),"",B469-B468)</f>
        <v/>
      </c>
      <c r="D469" s="21">
        <f>IF(B469="","",B469/Settings!$B$3^2)</f>
        <v/>
      </c>
      <c r="E469" s="21">
        <f>IF(B469="","",AVERAGE(B463:B469))</f>
        <v/>
      </c>
      <c r="F469" s="36">
        <f>IF(B469="","",B469-Settings!$B$4)</f>
        <v/>
      </c>
    </row>
    <row r="470">
      <c r="A470" s="35" t="n"/>
      <c r="B470" s="30" t="n"/>
      <c r="C470" s="36">
        <f>IF(OR(B470="",B469=""),"",B470-B469)</f>
        <v/>
      </c>
      <c r="D470" s="21">
        <f>IF(B470="","",B470/Settings!$B$3^2)</f>
        <v/>
      </c>
      <c r="E470" s="21">
        <f>IF(B470="","",AVERAGE(B464:B470))</f>
        <v/>
      </c>
      <c r="F470" s="36">
        <f>IF(B470="","",B470-Settings!$B$4)</f>
        <v/>
      </c>
    </row>
    <row r="471">
      <c r="A471" s="35" t="n"/>
      <c r="B471" s="30" t="n"/>
      <c r="C471" s="36">
        <f>IF(OR(B471="",B470=""),"",B471-B470)</f>
        <v/>
      </c>
      <c r="D471" s="21">
        <f>IF(B471="","",B471/Settings!$B$3^2)</f>
        <v/>
      </c>
      <c r="E471" s="21">
        <f>IF(B471="","",AVERAGE(B465:B471))</f>
        <v/>
      </c>
      <c r="F471" s="36">
        <f>IF(B471="","",B471-Settings!$B$4)</f>
        <v/>
      </c>
    </row>
    <row r="472">
      <c r="A472" s="35" t="n"/>
      <c r="B472" s="30" t="n"/>
      <c r="C472" s="36">
        <f>IF(OR(B472="",B471=""),"",B472-B471)</f>
        <v/>
      </c>
      <c r="D472" s="21">
        <f>IF(B472="","",B472/Settings!$B$3^2)</f>
        <v/>
      </c>
      <c r="E472" s="21">
        <f>IF(B472="","",AVERAGE(B466:B472))</f>
        <v/>
      </c>
      <c r="F472" s="36">
        <f>IF(B472="","",B472-Settings!$B$4)</f>
        <v/>
      </c>
    </row>
    <row r="473">
      <c r="A473" s="35" t="n"/>
      <c r="B473" s="30" t="n"/>
      <c r="C473" s="36">
        <f>IF(OR(B473="",B472=""),"",B473-B472)</f>
        <v/>
      </c>
      <c r="D473" s="21">
        <f>IF(B473="","",B473/Settings!$B$3^2)</f>
        <v/>
      </c>
      <c r="E473" s="21">
        <f>IF(B473="","",AVERAGE(B467:B473))</f>
        <v/>
      </c>
      <c r="F473" s="36">
        <f>IF(B473="","",B473-Settings!$B$4)</f>
        <v/>
      </c>
    </row>
    <row r="474">
      <c r="A474" s="35" t="n"/>
      <c r="B474" s="30" t="n"/>
      <c r="C474" s="36">
        <f>IF(OR(B474="",B473=""),"",B474-B473)</f>
        <v/>
      </c>
      <c r="D474" s="21">
        <f>IF(B474="","",B474/Settings!$B$3^2)</f>
        <v/>
      </c>
      <c r="E474" s="21">
        <f>IF(B474="","",AVERAGE(B468:B474))</f>
        <v/>
      </c>
      <c r="F474" s="36">
        <f>IF(B474="","",B474-Settings!$B$4)</f>
        <v/>
      </c>
    </row>
    <row r="475">
      <c r="A475" s="35" t="n"/>
      <c r="B475" s="30" t="n"/>
      <c r="C475" s="36">
        <f>IF(OR(B475="",B474=""),"",B475-B474)</f>
        <v/>
      </c>
      <c r="D475" s="21">
        <f>IF(B475="","",B475/Settings!$B$3^2)</f>
        <v/>
      </c>
      <c r="E475" s="21">
        <f>IF(B475="","",AVERAGE(B469:B475))</f>
        <v/>
      </c>
      <c r="F475" s="36">
        <f>IF(B475="","",B475-Settings!$B$4)</f>
        <v/>
      </c>
    </row>
    <row r="476">
      <c r="A476" s="35" t="n"/>
      <c r="B476" s="30" t="n"/>
      <c r="C476" s="36">
        <f>IF(OR(B476="",B475=""),"",B476-B475)</f>
        <v/>
      </c>
      <c r="D476" s="21">
        <f>IF(B476="","",B476/Settings!$B$3^2)</f>
        <v/>
      </c>
      <c r="E476" s="21">
        <f>IF(B476="","",AVERAGE(B470:B476))</f>
        <v/>
      </c>
      <c r="F476" s="36">
        <f>IF(B476="","",B476-Settings!$B$4)</f>
        <v/>
      </c>
    </row>
    <row r="477">
      <c r="A477" s="35" t="n"/>
      <c r="B477" s="30" t="n"/>
      <c r="C477" s="36">
        <f>IF(OR(B477="",B476=""),"",B477-B476)</f>
        <v/>
      </c>
      <c r="D477" s="21">
        <f>IF(B477="","",B477/Settings!$B$3^2)</f>
        <v/>
      </c>
      <c r="E477" s="21">
        <f>IF(B477="","",AVERAGE(B471:B477))</f>
        <v/>
      </c>
      <c r="F477" s="36">
        <f>IF(B477="","",B477-Settings!$B$4)</f>
        <v/>
      </c>
    </row>
    <row r="478">
      <c r="A478" s="35" t="n"/>
      <c r="B478" s="30" t="n"/>
      <c r="C478" s="36">
        <f>IF(OR(B478="",B477=""),"",B478-B477)</f>
        <v/>
      </c>
      <c r="D478" s="21">
        <f>IF(B478="","",B478/Settings!$B$3^2)</f>
        <v/>
      </c>
      <c r="E478" s="21">
        <f>IF(B478="","",AVERAGE(B472:B478))</f>
        <v/>
      </c>
      <c r="F478" s="36">
        <f>IF(B478="","",B478-Settings!$B$4)</f>
        <v/>
      </c>
    </row>
    <row r="479">
      <c r="A479" s="35" t="n"/>
      <c r="B479" s="30" t="n"/>
      <c r="C479" s="36">
        <f>IF(OR(B479="",B478=""),"",B479-B478)</f>
        <v/>
      </c>
      <c r="D479" s="21">
        <f>IF(B479="","",B479/Settings!$B$3^2)</f>
        <v/>
      </c>
      <c r="E479" s="21">
        <f>IF(B479="","",AVERAGE(B473:B479))</f>
        <v/>
      </c>
      <c r="F479" s="36">
        <f>IF(B479="","",B479-Settings!$B$4)</f>
        <v/>
      </c>
    </row>
    <row r="480">
      <c r="A480" s="35" t="n"/>
      <c r="B480" s="30" t="n"/>
      <c r="C480" s="36">
        <f>IF(OR(B480="",B479=""),"",B480-B479)</f>
        <v/>
      </c>
      <c r="D480" s="21">
        <f>IF(B480="","",B480/Settings!$B$3^2)</f>
        <v/>
      </c>
      <c r="E480" s="21">
        <f>IF(B480="","",AVERAGE(B474:B480))</f>
        <v/>
      </c>
      <c r="F480" s="36">
        <f>IF(B480="","",B480-Settings!$B$4)</f>
        <v/>
      </c>
    </row>
    <row r="481">
      <c r="A481" s="35" t="n"/>
      <c r="B481" s="30" t="n"/>
      <c r="C481" s="36">
        <f>IF(OR(B481="",B480=""),"",B481-B480)</f>
        <v/>
      </c>
      <c r="D481" s="21">
        <f>IF(B481="","",B481/Settings!$B$3^2)</f>
        <v/>
      </c>
      <c r="E481" s="21">
        <f>IF(B481="","",AVERAGE(B475:B481))</f>
        <v/>
      </c>
      <c r="F481" s="36">
        <f>IF(B481="","",B481-Settings!$B$4)</f>
        <v/>
      </c>
    </row>
    <row r="482">
      <c r="A482" s="35" t="n"/>
      <c r="B482" s="30" t="n"/>
      <c r="C482" s="36">
        <f>IF(OR(B482="",B481=""),"",B482-B481)</f>
        <v/>
      </c>
      <c r="D482" s="21">
        <f>IF(B482="","",B482/Settings!$B$3^2)</f>
        <v/>
      </c>
      <c r="E482" s="21">
        <f>IF(B482="","",AVERAGE(B476:B482))</f>
        <v/>
      </c>
      <c r="F482" s="36">
        <f>IF(B482="","",B482-Settings!$B$4)</f>
        <v/>
      </c>
    </row>
    <row r="483">
      <c r="A483" s="35" t="n"/>
      <c r="B483" s="30" t="n"/>
      <c r="C483" s="36">
        <f>IF(OR(B483="",B482=""),"",B483-B482)</f>
        <v/>
      </c>
      <c r="D483" s="21">
        <f>IF(B483="","",B483/Settings!$B$3^2)</f>
        <v/>
      </c>
      <c r="E483" s="21">
        <f>IF(B483="","",AVERAGE(B477:B483))</f>
        <v/>
      </c>
      <c r="F483" s="36">
        <f>IF(B483="","",B483-Settings!$B$4)</f>
        <v/>
      </c>
    </row>
    <row r="484">
      <c r="A484" s="35" t="n"/>
      <c r="B484" s="30" t="n"/>
      <c r="C484" s="36">
        <f>IF(OR(B484="",B483=""),"",B484-B483)</f>
        <v/>
      </c>
      <c r="D484" s="21">
        <f>IF(B484="","",B484/Settings!$B$3^2)</f>
        <v/>
      </c>
      <c r="E484" s="21">
        <f>IF(B484="","",AVERAGE(B478:B484))</f>
        <v/>
      </c>
      <c r="F484" s="36">
        <f>IF(B484="","",B484-Settings!$B$4)</f>
        <v/>
      </c>
    </row>
    <row r="485">
      <c r="A485" s="35" t="n"/>
      <c r="B485" s="30" t="n"/>
      <c r="C485" s="36">
        <f>IF(OR(B485="",B484=""),"",B485-B484)</f>
        <v/>
      </c>
      <c r="D485" s="21">
        <f>IF(B485="","",B485/Settings!$B$3^2)</f>
        <v/>
      </c>
      <c r="E485" s="21">
        <f>IF(B485="","",AVERAGE(B479:B485))</f>
        <v/>
      </c>
      <c r="F485" s="36">
        <f>IF(B485="","",B485-Settings!$B$4)</f>
        <v/>
      </c>
    </row>
    <row r="486">
      <c r="A486" s="35" t="n"/>
      <c r="B486" s="30" t="n"/>
      <c r="C486" s="36">
        <f>IF(OR(B486="",B485=""),"",B486-B485)</f>
        <v/>
      </c>
      <c r="D486" s="21">
        <f>IF(B486="","",B486/Settings!$B$3^2)</f>
        <v/>
      </c>
      <c r="E486" s="21">
        <f>IF(B486="","",AVERAGE(B480:B486))</f>
        <v/>
      </c>
      <c r="F486" s="36">
        <f>IF(B486="","",B486-Settings!$B$4)</f>
        <v/>
      </c>
    </row>
    <row r="487">
      <c r="A487" s="35" t="n"/>
      <c r="B487" s="30" t="n"/>
      <c r="C487" s="36">
        <f>IF(OR(B487="",B486=""),"",B487-B486)</f>
        <v/>
      </c>
      <c r="D487" s="21">
        <f>IF(B487="","",B487/Settings!$B$3^2)</f>
        <v/>
      </c>
      <c r="E487" s="21">
        <f>IF(B487="","",AVERAGE(B481:B487))</f>
        <v/>
      </c>
      <c r="F487" s="36">
        <f>IF(B487="","",B487-Settings!$B$4)</f>
        <v/>
      </c>
    </row>
    <row r="488">
      <c r="A488" s="35" t="n"/>
      <c r="B488" s="30" t="n"/>
      <c r="C488" s="36">
        <f>IF(OR(B488="",B487=""),"",B488-B487)</f>
        <v/>
      </c>
      <c r="D488" s="21">
        <f>IF(B488="","",B488/Settings!$B$3^2)</f>
        <v/>
      </c>
      <c r="E488" s="21">
        <f>IF(B488="","",AVERAGE(B482:B488))</f>
        <v/>
      </c>
      <c r="F488" s="36">
        <f>IF(B488="","",B488-Settings!$B$4)</f>
        <v/>
      </c>
    </row>
    <row r="489">
      <c r="A489" s="35" t="n"/>
      <c r="B489" s="30" t="n"/>
      <c r="C489" s="36">
        <f>IF(OR(B489="",B488=""),"",B489-B488)</f>
        <v/>
      </c>
      <c r="D489" s="21">
        <f>IF(B489="","",B489/Settings!$B$3^2)</f>
        <v/>
      </c>
      <c r="E489" s="21">
        <f>IF(B489="","",AVERAGE(B483:B489))</f>
        <v/>
      </c>
      <c r="F489" s="36">
        <f>IF(B489="","",B489-Settings!$B$4)</f>
        <v/>
      </c>
    </row>
    <row r="490">
      <c r="A490" s="35" t="n"/>
      <c r="B490" s="30" t="n"/>
      <c r="C490" s="36">
        <f>IF(OR(B490="",B489=""),"",B490-B489)</f>
        <v/>
      </c>
      <c r="D490" s="21">
        <f>IF(B490="","",B490/Settings!$B$3^2)</f>
        <v/>
      </c>
      <c r="E490" s="21">
        <f>IF(B490="","",AVERAGE(B484:B490))</f>
        <v/>
      </c>
      <c r="F490" s="36">
        <f>IF(B490="","",B490-Settings!$B$4)</f>
        <v/>
      </c>
    </row>
    <row r="491">
      <c r="A491" s="35" t="n"/>
      <c r="B491" s="30" t="n"/>
      <c r="C491" s="36">
        <f>IF(OR(B491="",B490=""),"",B491-B490)</f>
        <v/>
      </c>
      <c r="D491" s="21">
        <f>IF(B491="","",B491/Settings!$B$3^2)</f>
        <v/>
      </c>
      <c r="E491" s="21">
        <f>IF(B491="","",AVERAGE(B485:B491))</f>
        <v/>
      </c>
      <c r="F491" s="36">
        <f>IF(B491="","",B491-Settings!$B$4)</f>
        <v/>
      </c>
    </row>
    <row r="492">
      <c r="A492" s="35" t="n"/>
      <c r="B492" s="30" t="n"/>
      <c r="C492" s="36">
        <f>IF(OR(B492="",B491=""),"",B492-B491)</f>
        <v/>
      </c>
      <c r="D492" s="21">
        <f>IF(B492="","",B492/Settings!$B$3^2)</f>
        <v/>
      </c>
      <c r="E492" s="21">
        <f>IF(B492="","",AVERAGE(B486:B492))</f>
        <v/>
      </c>
      <c r="F492" s="36">
        <f>IF(B492="","",B492-Settings!$B$4)</f>
        <v/>
      </c>
    </row>
    <row r="493">
      <c r="A493" s="35" t="n"/>
      <c r="B493" s="30" t="n"/>
      <c r="C493" s="36">
        <f>IF(OR(B493="",B492=""),"",B493-B492)</f>
        <v/>
      </c>
      <c r="D493" s="21">
        <f>IF(B493="","",B493/Settings!$B$3^2)</f>
        <v/>
      </c>
      <c r="E493" s="21">
        <f>IF(B493="","",AVERAGE(B487:B493))</f>
        <v/>
      </c>
      <c r="F493" s="36">
        <f>IF(B493="","",B493-Settings!$B$4)</f>
        <v/>
      </c>
    </row>
    <row r="494">
      <c r="A494" s="35" t="n"/>
      <c r="B494" s="30" t="n"/>
      <c r="C494" s="36">
        <f>IF(OR(B494="",B493=""),"",B494-B493)</f>
        <v/>
      </c>
      <c r="D494" s="21">
        <f>IF(B494="","",B494/Settings!$B$3^2)</f>
        <v/>
      </c>
      <c r="E494" s="21">
        <f>IF(B494="","",AVERAGE(B488:B494))</f>
        <v/>
      </c>
      <c r="F494" s="36">
        <f>IF(B494="","",B494-Settings!$B$4)</f>
        <v/>
      </c>
    </row>
    <row r="495">
      <c r="A495" s="35" t="n"/>
      <c r="B495" s="30" t="n"/>
      <c r="C495" s="36">
        <f>IF(OR(B495="",B494=""),"",B495-B494)</f>
        <v/>
      </c>
      <c r="D495" s="21">
        <f>IF(B495="","",B495/Settings!$B$3^2)</f>
        <v/>
      </c>
      <c r="E495" s="21">
        <f>IF(B495="","",AVERAGE(B489:B495))</f>
        <v/>
      </c>
      <c r="F495" s="36">
        <f>IF(B495="","",B495-Settings!$B$4)</f>
        <v/>
      </c>
    </row>
    <row r="496">
      <c r="A496" s="35" t="n"/>
      <c r="B496" s="30" t="n"/>
      <c r="C496" s="36">
        <f>IF(OR(B496="",B495=""),"",B496-B495)</f>
        <v/>
      </c>
      <c r="D496" s="21">
        <f>IF(B496="","",B496/Settings!$B$3^2)</f>
        <v/>
      </c>
      <c r="E496" s="21">
        <f>IF(B496="","",AVERAGE(B490:B496))</f>
        <v/>
      </c>
      <c r="F496" s="36">
        <f>IF(B496="","",B496-Settings!$B$4)</f>
        <v/>
      </c>
    </row>
    <row r="497">
      <c r="A497" s="35" t="n"/>
      <c r="B497" s="30" t="n"/>
      <c r="C497" s="36">
        <f>IF(OR(B497="",B496=""),"",B497-B496)</f>
        <v/>
      </c>
      <c r="D497" s="21">
        <f>IF(B497="","",B497/Settings!$B$3^2)</f>
        <v/>
      </c>
      <c r="E497" s="21">
        <f>IF(B497="","",AVERAGE(B491:B497))</f>
        <v/>
      </c>
      <c r="F497" s="36">
        <f>IF(B497="","",B497-Settings!$B$4)</f>
        <v/>
      </c>
    </row>
    <row r="498">
      <c r="A498" s="35" t="n"/>
      <c r="B498" s="30" t="n"/>
      <c r="C498" s="36">
        <f>IF(OR(B498="",B497=""),"",B498-B497)</f>
        <v/>
      </c>
      <c r="D498" s="21">
        <f>IF(B498="","",B498/Settings!$B$3^2)</f>
        <v/>
      </c>
      <c r="E498" s="21">
        <f>IF(B498="","",AVERAGE(B492:B498))</f>
        <v/>
      </c>
      <c r="F498" s="36">
        <f>IF(B498="","",B498-Settings!$B$4)</f>
        <v/>
      </c>
    </row>
    <row r="499">
      <c r="A499" s="35" t="n"/>
      <c r="B499" s="30" t="n"/>
      <c r="C499" s="36">
        <f>IF(OR(B499="",B498=""),"",B499-B498)</f>
        <v/>
      </c>
      <c r="D499" s="21">
        <f>IF(B499="","",B499/Settings!$B$3^2)</f>
        <v/>
      </c>
      <c r="E499" s="21">
        <f>IF(B499="","",AVERAGE(B493:B499))</f>
        <v/>
      </c>
      <c r="F499" s="36">
        <f>IF(B499="","",B499-Settings!$B$4)</f>
        <v/>
      </c>
    </row>
    <row r="500">
      <c r="A500" s="35" t="n"/>
      <c r="B500" s="30" t="n"/>
      <c r="C500" s="36">
        <f>IF(OR(B500="",B499=""),"",B500-B499)</f>
        <v/>
      </c>
      <c r="D500" s="21">
        <f>IF(B500="","",B500/Settings!$B$3^2)</f>
        <v/>
      </c>
      <c r="E500" s="21">
        <f>IF(B500="","",AVERAGE(B494:B500))</f>
        <v/>
      </c>
      <c r="F500" s="36">
        <f>IF(B500="","",B500-Settings!$B$4)</f>
        <v/>
      </c>
    </row>
    <row r="501">
      <c r="A501" s="35" t="n"/>
      <c r="B501" s="30" t="n"/>
      <c r="C501" s="36">
        <f>IF(OR(B501="",B500=""),"",B501-B500)</f>
        <v/>
      </c>
      <c r="D501" s="21">
        <f>IF(B501="","",B501/Settings!$B$3^2)</f>
        <v/>
      </c>
      <c r="E501" s="21">
        <f>IF(B501="","",AVERAGE(B495:B501))</f>
        <v/>
      </c>
      <c r="F501" s="36">
        <f>IF(B501="","",B501-Settings!$B$4)</f>
        <v/>
      </c>
    </row>
    <row r="502">
      <c r="A502" s="35" t="n"/>
      <c r="B502" s="30" t="n"/>
      <c r="C502" s="36">
        <f>IF(OR(B502="",B501=""),"",B502-B501)</f>
        <v/>
      </c>
      <c r="D502" s="21">
        <f>IF(B502="","",B502/Settings!$B$3^2)</f>
        <v/>
      </c>
      <c r="E502" s="21">
        <f>IF(B502="","",AVERAGE(B496:B502))</f>
        <v/>
      </c>
      <c r="F502" s="36">
        <f>IF(B502="","",B502-Settings!$B$4)</f>
        <v/>
      </c>
    </row>
    <row r="503">
      <c r="A503" s="35" t="n"/>
      <c r="B503" s="30" t="n"/>
      <c r="C503" s="36">
        <f>IF(OR(B503="",B502=""),"",B503-B502)</f>
        <v/>
      </c>
      <c r="D503" s="21">
        <f>IF(B503="","",B503/Settings!$B$3^2)</f>
        <v/>
      </c>
      <c r="E503" s="21">
        <f>IF(B503="","",AVERAGE(B497:B503))</f>
        <v/>
      </c>
      <c r="F503" s="36">
        <f>IF(B503="","",B503-Settings!$B$4)</f>
        <v/>
      </c>
    </row>
    <row r="504">
      <c r="A504" s="35" t="n"/>
      <c r="B504" s="30" t="n"/>
      <c r="C504" s="36">
        <f>IF(OR(B504="",B503=""),"",B504-B503)</f>
        <v/>
      </c>
      <c r="D504" s="21">
        <f>IF(B504="","",B504/Settings!$B$3^2)</f>
        <v/>
      </c>
      <c r="E504" s="21">
        <f>IF(B504="","",AVERAGE(B498:B504))</f>
        <v/>
      </c>
      <c r="F504" s="36">
        <f>IF(B504="","",B504-Settings!$B$4)</f>
        <v/>
      </c>
    </row>
    <row r="505">
      <c r="A505" s="35" t="n"/>
      <c r="B505" s="30" t="n"/>
      <c r="C505" s="36">
        <f>IF(OR(B505="",B504=""),"",B505-B504)</f>
        <v/>
      </c>
      <c r="D505" s="21">
        <f>IF(B505="","",B505/Settings!$B$3^2)</f>
        <v/>
      </c>
      <c r="E505" s="21">
        <f>IF(B505="","",AVERAGE(B499:B505))</f>
        <v/>
      </c>
      <c r="F505" s="36">
        <f>IF(B505="","",B505-Settings!$B$4)</f>
        <v/>
      </c>
    </row>
    <row r="506">
      <c r="A506" s="35" t="n"/>
      <c r="B506" s="30" t="n"/>
      <c r="C506" s="36">
        <f>IF(OR(B506="",B505=""),"",B506-B505)</f>
        <v/>
      </c>
      <c r="D506" s="21">
        <f>IF(B506="","",B506/Settings!$B$3^2)</f>
        <v/>
      </c>
      <c r="E506" s="21">
        <f>IF(B506="","",AVERAGE(B500:B506))</f>
        <v/>
      </c>
      <c r="F506" s="36">
        <f>IF(B506="","",B506-Settings!$B$4)</f>
        <v/>
      </c>
    </row>
    <row r="507">
      <c r="A507" s="35" t="n"/>
      <c r="B507" s="30" t="n"/>
      <c r="C507" s="36">
        <f>IF(OR(B507="",B506=""),"",B507-B506)</f>
        <v/>
      </c>
      <c r="D507" s="21">
        <f>IF(B507="","",B507/Settings!$B$3^2)</f>
        <v/>
      </c>
      <c r="E507" s="21">
        <f>IF(B507="","",AVERAGE(B501:B507))</f>
        <v/>
      </c>
      <c r="F507" s="36">
        <f>IF(B507="","",B507-Settings!$B$4)</f>
        <v/>
      </c>
    </row>
    <row r="508">
      <c r="A508" s="35" t="n"/>
      <c r="B508" s="30" t="n"/>
      <c r="C508" s="36">
        <f>IF(OR(B508="",B507=""),"",B508-B507)</f>
        <v/>
      </c>
      <c r="D508" s="21">
        <f>IF(B508="","",B508/Settings!$B$3^2)</f>
        <v/>
      </c>
      <c r="E508" s="21">
        <f>IF(B508="","",AVERAGE(B502:B508))</f>
        <v/>
      </c>
      <c r="F508" s="36">
        <f>IF(B508="","",B508-Settings!$B$4)</f>
        <v/>
      </c>
    </row>
    <row r="509">
      <c r="A509" s="35" t="n"/>
      <c r="B509" s="30" t="n"/>
      <c r="C509" s="36">
        <f>IF(OR(B509="",B508=""),"",B509-B508)</f>
        <v/>
      </c>
      <c r="D509" s="21">
        <f>IF(B509="","",B509/Settings!$B$3^2)</f>
        <v/>
      </c>
      <c r="E509" s="21">
        <f>IF(B509="","",AVERAGE(B503:B509))</f>
        <v/>
      </c>
      <c r="F509" s="36">
        <f>IF(B509="","",B509-Settings!$B$4)</f>
        <v/>
      </c>
    </row>
    <row r="510">
      <c r="A510" s="35" t="n"/>
      <c r="B510" s="30" t="n"/>
      <c r="C510" s="36">
        <f>IF(OR(B510="",B509=""),"",B510-B509)</f>
        <v/>
      </c>
      <c r="D510" s="21">
        <f>IF(B510="","",B510/Settings!$B$3^2)</f>
        <v/>
      </c>
      <c r="E510" s="21">
        <f>IF(B510="","",AVERAGE(B504:B510))</f>
        <v/>
      </c>
      <c r="F510" s="36">
        <f>IF(B510="","",B510-Settings!$B$4)</f>
        <v/>
      </c>
    </row>
    <row r="511">
      <c r="A511" s="35" t="n"/>
      <c r="B511" s="30" t="n"/>
      <c r="C511" s="36">
        <f>IF(OR(B511="",B510=""),"",B511-B510)</f>
        <v/>
      </c>
      <c r="D511" s="21">
        <f>IF(B511="","",B511/Settings!$B$3^2)</f>
        <v/>
      </c>
      <c r="E511" s="21">
        <f>IF(B511="","",AVERAGE(B505:B511))</f>
        <v/>
      </c>
      <c r="F511" s="36">
        <f>IF(B511="","",B511-Settings!$B$4)</f>
        <v/>
      </c>
    </row>
    <row r="512">
      <c r="A512" s="35" t="n"/>
      <c r="B512" s="30" t="n"/>
      <c r="C512" s="36">
        <f>IF(OR(B512="",B511=""),"",B512-B511)</f>
        <v/>
      </c>
      <c r="D512" s="21">
        <f>IF(B512="","",B512/Settings!$B$3^2)</f>
        <v/>
      </c>
      <c r="E512" s="21">
        <f>IF(B512="","",AVERAGE(B506:B512))</f>
        <v/>
      </c>
      <c r="F512" s="36">
        <f>IF(B512="","",B512-Settings!$B$4)</f>
        <v/>
      </c>
    </row>
    <row r="513">
      <c r="A513" s="35" t="n"/>
      <c r="B513" s="30" t="n"/>
      <c r="C513" s="36">
        <f>IF(OR(B513="",B512=""),"",B513-B512)</f>
        <v/>
      </c>
      <c r="D513" s="21">
        <f>IF(B513="","",B513/Settings!$B$3^2)</f>
        <v/>
      </c>
      <c r="E513" s="21">
        <f>IF(B513="","",AVERAGE(B507:B513))</f>
        <v/>
      </c>
      <c r="F513" s="36">
        <f>IF(B513="","",B513-Settings!$B$4)</f>
        <v/>
      </c>
    </row>
    <row r="514">
      <c r="A514" s="35" t="n"/>
      <c r="B514" s="30" t="n"/>
      <c r="C514" s="36">
        <f>IF(OR(B514="",B513=""),"",B514-B513)</f>
        <v/>
      </c>
      <c r="D514" s="21">
        <f>IF(B514="","",B514/Settings!$B$3^2)</f>
        <v/>
      </c>
      <c r="E514" s="21">
        <f>IF(B514="","",AVERAGE(B508:B514))</f>
        <v/>
      </c>
      <c r="F514" s="36">
        <f>IF(B514="","",B514-Settings!$B$4)</f>
        <v/>
      </c>
    </row>
    <row r="515">
      <c r="A515" s="35" t="n"/>
      <c r="B515" s="30" t="n"/>
      <c r="C515" s="36">
        <f>IF(OR(B515="",B514=""),"",B515-B514)</f>
        <v/>
      </c>
      <c r="D515" s="21">
        <f>IF(B515="","",B515/Settings!$B$3^2)</f>
        <v/>
      </c>
      <c r="E515" s="21">
        <f>IF(B515="","",AVERAGE(B509:B515))</f>
        <v/>
      </c>
      <c r="F515" s="36">
        <f>IF(B515="","",B515-Settings!$B$4)</f>
        <v/>
      </c>
    </row>
    <row r="516">
      <c r="A516" s="35" t="n"/>
      <c r="B516" s="30" t="n"/>
      <c r="C516" s="36">
        <f>IF(OR(B516="",B515=""),"",B516-B515)</f>
        <v/>
      </c>
      <c r="D516" s="21">
        <f>IF(B516="","",B516/Settings!$B$3^2)</f>
        <v/>
      </c>
      <c r="E516" s="21">
        <f>IF(B516="","",AVERAGE(B510:B516))</f>
        <v/>
      </c>
      <c r="F516" s="36">
        <f>IF(B516="","",B516-Settings!$B$4)</f>
        <v/>
      </c>
    </row>
    <row r="517">
      <c r="A517" s="35" t="n"/>
      <c r="B517" s="30" t="n"/>
      <c r="C517" s="36">
        <f>IF(OR(B517="",B516=""),"",B517-B516)</f>
        <v/>
      </c>
      <c r="D517" s="21">
        <f>IF(B517="","",B517/Settings!$B$3^2)</f>
        <v/>
      </c>
      <c r="E517" s="21">
        <f>IF(B517="","",AVERAGE(B511:B517))</f>
        <v/>
      </c>
      <c r="F517" s="36">
        <f>IF(B517="","",B517-Settings!$B$4)</f>
        <v/>
      </c>
    </row>
    <row r="518">
      <c r="A518" s="35" t="n"/>
      <c r="B518" s="30" t="n"/>
      <c r="C518" s="36">
        <f>IF(OR(B518="",B517=""),"",B518-B517)</f>
        <v/>
      </c>
      <c r="D518" s="21">
        <f>IF(B518="","",B518/Settings!$B$3^2)</f>
        <v/>
      </c>
      <c r="E518" s="21">
        <f>IF(B518="","",AVERAGE(B512:B518))</f>
        <v/>
      </c>
      <c r="F518" s="36">
        <f>IF(B518="","",B518-Settings!$B$4)</f>
        <v/>
      </c>
    </row>
    <row r="519">
      <c r="A519" s="35" t="n"/>
      <c r="B519" s="30" t="n"/>
      <c r="C519" s="36">
        <f>IF(OR(B519="",B518=""),"",B519-B518)</f>
        <v/>
      </c>
      <c r="D519" s="21">
        <f>IF(B519="","",B519/Settings!$B$3^2)</f>
        <v/>
      </c>
      <c r="E519" s="21">
        <f>IF(B519="","",AVERAGE(B513:B519))</f>
        <v/>
      </c>
      <c r="F519" s="36">
        <f>IF(B519="","",B519-Settings!$B$4)</f>
        <v/>
      </c>
    </row>
    <row r="520">
      <c r="A520" s="35" t="n"/>
      <c r="B520" s="30" t="n"/>
      <c r="C520" s="36">
        <f>IF(OR(B520="",B519=""),"",B520-B519)</f>
        <v/>
      </c>
      <c r="D520" s="21">
        <f>IF(B520="","",B520/Settings!$B$3^2)</f>
        <v/>
      </c>
      <c r="E520" s="21">
        <f>IF(B520="","",AVERAGE(B514:B520))</f>
        <v/>
      </c>
      <c r="F520" s="36">
        <f>IF(B520="","",B520-Settings!$B$4)</f>
        <v/>
      </c>
    </row>
    <row r="521">
      <c r="A521" s="35" t="n"/>
      <c r="B521" s="30" t="n"/>
      <c r="C521" s="36">
        <f>IF(OR(B521="",B520=""),"",B521-B520)</f>
        <v/>
      </c>
      <c r="D521" s="21">
        <f>IF(B521="","",B521/Settings!$B$3^2)</f>
        <v/>
      </c>
      <c r="E521" s="21">
        <f>IF(B521="","",AVERAGE(B515:B521))</f>
        <v/>
      </c>
      <c r="F521" s="36">
        <f>IF(B521="","",B521-Settings!$B$4)</f>
        <v/>
      </c>
    </row>
    <row r="522">
      <c r="A522" s="35" t="n"/>
      <c r="B522" s="30" t="n"/>
      <c r="C522" s="36">
        <f>IF(OR(B522="",B521=""),"",B522-B521)</f>
        <v/>
      </c>
      <c r="D522" s="21">
        <f>IF(B522="","",B522/Settings!$B$3^2)</f>
        <v/>
      </c>
      <c r="E522" s="21">
        <f>IF(B522="","",AVERAGE(B516:B522))</f>
        <v/>
      </c>
      <c r="F522" s="36">
        <f>IF(B522="","",B522-Settings!$B$4)</f>
        <v/>
      </c>
    </row>
    <row r="523">
      <c r="A523" s="35" t="n"/>
      <c r="B523" s="30" t="n"/>
      <c r="C523" s="36">
        <f>IF(OR(B523="",B522=""),"",B523-B522)</f>
        <v/>
      </c>
      <c r="D523" s="21">
        <f>IF(B523="","",B523/Settings!$B$3^2)</f>
        <v/>
      </c>
      <c r="E523" s="21">
        <f>IF(B523="","",AVERAGE(B517:B523))</f>
        <v/>
      </c>
      <c r="F523" s="36">
        <f>IF(B523="","",B523-Settings!$B$4)</f>
        <v/>
      </c>
    </row>
    <row r="524">
      <c r="A524" s="35" t="n"/>
      <c r="B524" s="30" t="n"/>
      <c r="C524" s="36">
        <f>IF(OR(B524="",B523=""),"",B524-B523)</f>
        <v/>
      </c>
      <c r="D524" s="21">
        <f>IF(B524="","",B524/Settings!$B$3^2)</f>
        <v/>
      </c>
      <c r="E524" s="21">
        <f>IF(B524="","",AVERAGE(B518:B524))</f>
        <v/>
      </c>
      <c r="F524" s="36">
        <f>IF(B524="","",B524-Settings!$B$4)</f>
        <v/>
      </c>
    </row>
    <row r="525">
      <c r="A525" s="35" t="n"/>
      <c r="B525" s="30" t="n"/>
      <c r="C525" s="36">
        <f>IF(OR(B525="",B524=""),"",B525-B524)</f>
        <v/>
      </c>
      <c r="D525" s="21">
        <f>IF(B525="","",B525/Settings!$B$3^2)</f>
        <v/>
      </c>
      <c r="E525" s="21">
        <f>IF(B525="","",AVERAGE(B519:B525))</f>
        <v/>
      </c>
      <c r="F525" s="36">
        <f>IF(B525="","",B525-Settings!$B$4)</f>
        <v/>
      </c>
    </row>
    <row r="526">
      <c r="A526" s="35" t="n"/>
      <c r="B526" s="30" t="n"/>
      <c r="C526" s="36">
        <f>IF(OR(B526="",B525=""),"",B526-B525)</f>
        <v/>
      </c>
      <c r="D526" s="21">
        <f>IF(B526="","",B526/Settings!$B$3^2)</f>
        <v/>
      </c>
      <c r="E526" s="21">
        <f>IF(B526="","",AVERAGE(B520:B526))</f>
        <v/>
      </c>
      <c r="F526" s="36">
        <f>IF(B526="","",B526-Settings!$B$4)</f>
        <v/>
      </c>
    </row>
    <row r="527">
      <c r="A527" s="35" t="n"/>
      <c r="B527" s="30" t="n"/>
      <c r="C527" s="36">
        <f>IF(OR(B527="",B526=""),"",B527-B526)</f>
        <v/>
      </c>
      <c r="D527" s="21">
        <f>IF(B527="","",B527/Settings!$B$3^2)</f>
        <v/>
      </c>
      <c r="E527" s="21">
        <f>IF(B527="","",AVERAGE(B521:B527))</f>
        <v/>
      </c>
      <c r="F527" s="36">
        <f>IF(B527="","",B527-Settings!$B$4)</f>
        <v/>
      </c>
    </row>
    <row r="528">
      <c r="A528" s="35" t="n"/>
      <c r="B528" s="30" t="n"/>
      <c r="C528" s="36">
        <f>IF(OR(B528="",B527=""),"",B528-B527)</f>
        <v/>
      </c>
      <c r="D528" s="21">
        <f>IF(B528="","",B528/Settings!$B$3^2)</f>
        <v/>
      </c>
      <c r="E528" s="21">
        <f>IF(B528="","",AVERAGE(B522:B528))</f>
        <v/>
      </c>
      <c r="F528" s="36">
        <f>IF(B528="","",B528-Settings!$B$4)</f>
        <v/>
      </c>
    </row>
    <row r="529">
      <c r="A529" s="35" t="n"/>
      <c r="B529" s="30" t="n"/>
      <c r="C529" s="36">
        <f>IF(OR(B529="",B528=""),"",B529-B528)</f>
        <v/>
      </c>
      <c r="D529" s="21">
        <f>IF(B529="","",B529/Settings!$B$3^2)</f>
        <v/>
      </c>
      <c r="E529" s="21">
        <f>IF(B529="","",AVERAGE(B523:B529))</f>
        <v/>
      </c>
      <c r="F529" s="36">
        <f>IF(B529="","",B529-Settings!$B$4)</f>
        <v/>
      </c>
    </row>
    <row r="530">
      <c r="A530" s="35" t="n"/>
      <c r="B530" s="30" t="n"/>
      <c r="C530" s="36">
        <f>IF(OR(B530="",B529=""),"",B530-B529)</f>
        <v/>
      </c>
      <c r="D530" s="21">
        <f>IF(B530="","",B530/Settings!$B$3^2)</f>
        <v/>
      </c>
      <c r="E530" s="21">
        <f>IF(B530="","",AVERAGE(B524:B530))</f>
        <v/>
      </c>
      <c r="F530" s="36">
        <f>IF(B530="","",B530-Settings!$B$4)</f>
        <v/>
      </c>
    </row>
    <row r="531">
      <c r="A531" s="35" t="n"/>
      <c r="B531" s="30" t="n"/>
      <c r="C531" s="36">
        <f>IF(OR(B531="",B530=""),"",B531-B530)</f>
        <v/>
      </c>
      <c r="D531" s="21">
        <f>IF(B531="","",B531/Settings!$B$3^2)</f>
        <v/>
      </c>
      <c r="E531" s="21">
        <f>IF(B531="","",AVERAGE(B525:B531))</f>
        <v/>
      </c>
      <c r="F531" s="36">
        <f>IF(B531="","",B531-Settings!$B$4)</f>
        <v/>
      </c>
    </row>
    <row r="532">
      <c r="A532" s="35" t="n"/>
      <c r="B532" s="30" t="n"/>
      <c r="C532" s="36">
        <f>IF(OR(B532="",B531=""),"",B532-B531)</f>
        <v/>
      </c>
      <c r="D532" s="21">
        <f>IF(B532="","",B532/Settings!$B$3^2)</f>
        <v/>
      </c>
      <c r="E532" s="21">
        <f>IF(B532="","",AVERAGE(B526:B532))</f>
        <v/>
      </c>
      <c r="F532" s="36">
        <f>IF(B532="","",B532-Settings!$B$4)</f>
        <v/>
      </c>
    </row>
    <row r="533">
      <c r="A533" s="35" t="n"/>
      <c r="B533" s="30" t="n"/>
      <c r="C533" s="36">
        <f>IF(OR(B533="",B532=""),"",B533-B532)</f>
        <v/>
      </c>
      <c r="D533" s="21">
        <f>IF(B533="","",B533/Settings!$B$3^2)</f>
        <v/>
      </c>
      <c r="E533" s="21">
        <f>IF(B533="","",AVERAGE(B527:B533))</f>
        <v/>
      </c>
      <c r="F533" s="36">
        <f>IF(B533="","",B533-Settings!$B$4)</f>
        <v/>
      </c>
    </row>
    <row r="534">
      <c r="A534" s="35" t="n"/>
      <c r="B534" s="30" t="n"/>
      <c r="C534" s="36">
        <f>IF(OR(B534="",B533=""),"",B534-B533)</f>
        <v/>
      </c>
      <c r="D534" s="21">
        <f>IF(B534="","",B534/Settings!$B$3^2)</f>
        <v/>
      </c>
      <c r="E534" s="21">
        <f>IF(B534="","",AVERAGE(B528:B534))</f>
        <v/>
      </c>
      <c r="F534" s="36">
        <f>IF(B534="","",B534-Settings!$B$4)</f>
        <v/>
      </c>
    </row>
    <row r="535">
      <c r="A535" s="35" t="n"/>
      <c r="B535" s="30" t="n"/>
      <c r="C535" s="36">
        <f>IF(OR(B535="",B534=""),"",B535-B534)</f>
        <v/>
      </c>
      <c r="D535" s="21">
        <f>IF(B535="","",B535/Settings!$B$3^2)</f>
        <v/>
      </c>
      <c r="E535" s="21">
        <f>IF(B535="","",AVERAGE(B529:B535))</f>
        <v/>
      </c>
      <c r="F535" s="36">
        <f>IF(B535="","",B535-Settings!$B$4)</f>
        <v/>
      </c>
    </row>
    <row r="536">
      <c r="A536" s="35" t="n"/>
      <c r="B536" s="30" t="n"/>
      <c r="C536" s="36">
        <f>IF(OR(B536="",B535=""),"",B536-B535)</f>
        <v/>
      </c>
      <c r="D536" s="21">
        <f>IF(B536="","",B536/Settings!$B$3^2)</f>
        <v/>
      </c>
      <c r="E536" s="21">
        <f>IF(B536="","",AVERAGE(B530:B536))</f>
        <v/>
      </c>
      <c r="F536" s="36">
        <f>IF(B536="","",B536-Settings!$B$4)</f>
        <v/>
      </c>
    </row>
    <row r="537">
      <c r="A537" s="35" t="n"/>
      <c r="B537" s="30" t="n"/>
      <c r="C537" s="36">
        <f>IF(OR(B537="",B536=""),"",B537-B536)</f>
        <v/>
      </c>
      <c r="D537" s="21">
        <f>IF(B537="","",B537/Settings!$B$3^2)</f>
        <v/>
      </c>
      <c r="E537" s="21">
        <f>IF(B537="","",AVERAGE(B531:B537))</f>
        <v/>
      </c>
      <c r="F537" s="36">
        <f>IF(B537="","",B537-Settings!$B$4)</f>
        <v/>
      </c>
    </row>
    <row r="538">
      <c r="A538" s="35" t="n"/>
      <c r="B538" s="30" t="n"/>
      <c r="C538" s="36">
        <f>IF(OR(B538="",B537=""),"",B538-B537)</f>
        <v/>
      </c>
      <c r="D538" s="21">
        <f>IF(B538="","",B538/Settings!$B$3^2)</f>
        <v/>
      </c>
      <c r="E538" s="21">
        <f>IF(B538="","",AVERAGE(B532:B538))</f>
        <v/>
      </c>
      <c r="F538" s="36">
        <f>IF(B538="","",B538-Settings!$B$4)</f>
        <v/>
      </c>
    </row>
    <row r="539">
      <c r="A539" s="35" t="n"/>
      <c r="B539" s="30" t="n"/>
      <c r="C539" s="36">
        <f>IF(OR(B539="",B538=""),"",B539-B538)</f>
        <v/>
      </c>
      <c r="D539" s="21">
        <f>IF(B539="","",B539/Settings!$B$3^2)</f>
        <v/>
      </c>
      <c r="E539" s="21">
        <f>IF(B539="","",AVERAGE(B533:B539))</f>
        <v/>
      </c>
      <c r="F539" s="36">
        <f>IF(B539="","",B539-Settings!$B$4)</f>
        <v/>
      </c>
    </row>
    <row r="540">
      <c r="A540" s="35" t="n"/>
      <c r="B540" s="30" t="n"/>
      <c r="C540" s="36">
        <f>IF(OR(B540="",B539=""),"",B540-B539)</f>
        <v/>
      </c>
      <c r="D540" s="21">
        <f>IF(B540="","",B540/Settings!$B$3^2)</f>
        <v/>
      </c>
      <c r="E540" s="21">
        <f>IF(B540="","",AVERAGE(B534:B540))</f>
        <v/>
      </c>
      <c r="F540" s="36">
        <f>IF(B540="","",B540-Settings!$B$4)</f>
        <v/>
      </c>
    </row>
    <row r="541">
      <c r="A541" s="35" t="n"/>
      <c r="B541" s="30" t="n"/>
      <c r="C541" s="36">
        <f>IF(OR(B541="",B540=""),"",B541-B540)</f>
        <v/>
      </c>
      <c r="D541" s="21">
        <f>IF(B541="","",B541/Settings!$B$3^2)</f>
        <v/>
      </c>
      <c r="E541" s="21">
        <f>IF(B541="","",AVERAGE(B535:B541))</f>
        <v/>
      </c>
      <c r="F541" s="36">
        <f>IF(B541="","",B541-Settings!$B$4)</f>
        <v/>
      </c>
    </row>
    <row r="542">
      <c r="A542" s="35" t="n"/>
      <c r="B542" s="30" t="n"/>
      <c r="C542" s="36">
        <f>IF(OR(B542="",B541=""),"",B542-B541)</f>
        <v/>
      </c>
      <c r="D542" s="21">
        <f>IF(B542="","",B542/Settings!$B$3^2)</f>
        <v/>
      </c>
      <c r="E542" s="21">
        <f>IF(B542="","",AVERAGE(B536:B542))</f>
        <v/>
      </c>
      <c r="F542" s="36">
        <f>IF(B542="","",B542-Settings!$B$4)</f>
        <v/>
      </c>
    </row>
    <row r="543">
      <c r="A543" s="35" t="n"/>
      <c r="B543" s="30" t="n"/>
      <c r="C543" s="36">
        <f>IF(OR(B543="",B542=""),"",B543-B542)</f>
        <v/>
      </c>
      <c r="D543" s="21">
        <f>IF(B543="","",B543/Settings!$B$3^2)</f>
        <v/>
      </c>
      <c r="E543" s="21">
        <f>IF(B543="","",AVERAGE(B537:B543))</f>
        <v/>
      </c>
      <c r="F543" s="36">
        <f>IF(B543="","",B543-Settings!$B$4)</f>
        <v/>
      </c>
    </row>
    <row r="544">
      <c r="A544" s="35" t="n"/>
      <c r="B544" s="30" t="n"/>
      <c r="C544" s="36">
        <f>IF(OR(B544="",B543=""),"",B544-B543)</f>
        <v/>
      </c>
      <c r="D544" s="21">
        <f>IF(B544="","",B544/Settings!$B$3^2)</f>
        <v/>
      </c>
      <c r="E544" s="21">
        <f>IF(B544="","",AVERAGE(B538:B544))</f>
        <v/>
      </c>
      <c r="F544" s="36">
        <f>IF(B544="","",B544-Settings!$B$4)</f>
        <v/>
      </c>
    </row>
    <row r="545">
      <c r="A545" s="35" t="n"/>
      <c r="B545" s="30" t="n"/>
      <c r="C545" s="36">
        <f>IF(OR(B545="",B544=""),"",B545-B544)</f>
        <v/>
      </c>
      <c r="D545" s="21">
        <f>IF(B545="","",B545/Settings!$B$3^2)</f>
        <v/>
      </c>
      <c r="E545" s="21">
        <f>IF(B545="","",AVERAGE(B539:B545))</f>
        <v/>
      </c>
      <c r="F545" s="36">
        <f>IF(B545="","",B545-Settings!$B$4)</f>
        <v/>
      </c>
    </row>
    <row r="546">
      <c r="A546" s="35" t="n"/>
      <c r="B546" s="30" t="n"/>
      <c r="C546" s="36">
        <f>IF(OR(B546="",B545=""),"",B546-B545)</f>
        <v/>
      </c>
      <c r="D546" s="21">
        <f>IF(B546="","",B546/Settings!$B$3^2)</f>
        <v/>
      </c>
      <c r="E546" s="21">
        <f>IF(B546="","",AVERAGE(B540:B546))</f>
        <v/>
      </c>
      <c r="F546" s="36">
        <f>IF(B546="","",B546-Settings!$B$4)</f>
        <v/>
      </c>
    </row>
    <row r="547">
      <c r="A547" s="35" t="n"/>
      <c r="B547" s="30" t="n"/>
      <c r="C547" s="36">
        <f>IF(OR(B547="",B546=""),"",B547-B546)</f>
        <v/>
      </c>
      <c r="D547" s="21">
        <f>IF(B547="","",B547/Settings!$B$3^2)</f>
        <v/>
      </c>
      <c r="E547" s="21">
        <f>IF(B547="","",AVERAGE(B541:B547))</f>
        <v/>
      </c>
      <c r="F547" s="36">
        <f>IF(B547="","",B547-Settings!$B$4)</f>
        <v/>
      </c>
    </row>
    <row r="548">
      <c r="A548" s="35" t="n"/>
      <c r="B548" s="30" t="n"/>
      <c r="C548" s="36">
        <f>IF(OR(B548="",B547=""),"",B548-B547)</f>
        <v/>
      </c>
      <c r="D548" s="21">
        <f>IF(B548="","",B548/Settings!$B$3^2)</f>
        <v/>
      </c>
      <c r="E548" s="21">
        <f>IF(B548="","",AVERAGE(B542:B548))</f>
        <v/>
      </c>
      <c r="F548" s="36">
        <f>IF(B548="","",B548-Settings!$B$4)</f>
        <v/>
      </c>
    </row>
    <row r="549">
      <c r="A549" s="35" t="n"/>
      <c r="B549" s="30" t="n"/>
      <c r="C549" s="36">
        <f>IF(OR(B549="",B548=""),"",B549-B548)</f>
        <v/>
      </c>
      <c r="D549" s="21">
        <f>IF(B549="","",B549/Settings!$B$3^2)</f>
        <v/>
      </c>
      <c r="E549" s="21">
        <f>IF(B549="","",AVERAGE(B543:B549))</f>
        <v/>
      </c>
      <c r="F549" s="36">
        <f>IF(B549="","",B549-Settings!$B$4)</f>
        <v/>
      </c>
    </row>
    <row r="550">
      <c r="A550" s="35" t="n"/>
      <c r="B550" s="30" t="n"/>
      <c r="C550" s="36">
        <f>IF(OR(B550="",B549=""),"",B550-B549)</f>
        <v/>
      </c>
      <c r="D550" s="21">
        <f>IF(B550="","",B550/Settings!$B$3^2)</f>
        <v/>
      </c>
      <c r="E550" s="21">
        <f>IF(B550="","",AVERAGE(B544:B550))</f>
        <v/>
      </c>
      <c r="F550" s="36">
        <f>IF(B550="","",B550-Settings!$B$4)</f>
        <v/>
      </c>
    </row>
    <row r="551">
      <c r="A551" s="35" t="n"/>
      <c r="B551" s="30" t="n"/>
      <c r="C551" s="36">
        <f>IF(OR(B551="",B550=""),"",B551-B550)</f>
        <v/>
      </c>
      <c r="D551" s="21">
        <f>IF(B551="","",B551/Settings!$B$3^2)</f>
        <v/>
      </c>
      <c r="E551" s="21">
        <f>IF(B551="","",AVERAGE(B545:B551))</f>
        <v/>
      </c>
      <c r="F551" s="36">
        <f>IF(B551="","",B551-Settings!$B$4)</f>
        <v/>
      </c>
    </row>
    <row r="552">
      <c r="A552" s="35" t="n"/>
      <c r="B552" s="30" t="n"/>
      <c r="C552" s="36">
        <f>IF(OR(B552="",B551=""),"",B552-B551)</f>
        <v/>
      </c>
      <c r="D552" s="21">
        <f>IF(B552="","",B552/Settings!$B$3^2)</f>
        <v/>
      </c>
      <c r="E552" s="21">
        <f>IF(B552="","",AVERAGE(B546:B552))</f>
        <v/>
      </c>
      <c r="F552" s="36">
        <f>IF(B552="","",B552-Settings!$B$4)</f>
        <v/>
      </c>
    </row>
    <row r="553">
      <c r="A553" s="35" t="n"/>
      <c r="B553" s="30" t="n"/>
      <c r="C553" s="36">
        <f>IF(OR(B553="",B552=""),"",B553-B552)</f>
        <v/>
      </c>
      <c r="D553" s="21">
        <f>IF(B553="","",B553/Settings!$B$3^2)</f>
        <v/>
      </c>
      <c r="E553" s="21">
        <f>IF(B553="","",AVERAGE(B547:B553))</f>
        <v/>
      </c>
      <c r="F553" s="36">
        <f>IF(B553="","",B553-Settings!$B$4)</f>
        <v/>
      </c>
    </row>
    <row r="554">
      <c r="A554" s="35" t="n"/>
      <c r="B554" s="30" t="n"/>
      <c r="C554" s="36">
        <f>IF(OR(B554="",B553=""),"",B554-B553)</f>
        <v/>
      </c>
      <c r="D554" s="21">
        <f>IF(B554="","",B554/Settings!$B$3^2)</f>
        <v/>
      </c>
      <c r="E554" s="21">
        <f>IF(B554="","",AVERAGE(B548:B554))</f>
        <v/>
      </c>
      <c r="F554" s="36">
        <f>IF(B554="","",B554-Settings!$B$4)</f>
        <v/>
      </c>
    </row>
    <row r="555">
      <c r="A555" s="35" t="n"/>
      <c r="B555" s="30" t="n"/>
      <c r="C555" s="36">
        <f>IF(OR(B555="",B554=""),"",B555-B554)</f>
        <v/>
      </c>
      <c r="D555" s="21">
        <f>IF(B555="","",B555/Settings!$B$3^2)</f>
        <v/>
      </c>
      <c r="E555" s="21">
        <f>IF(B555="","",AVERAGE(B549:B555))</f>
        <v/>
      </c>
      <c r="F555" s="36">
        <f>IF(B555="","",B555-Settings!$B$4)</f>
        <v/>
      </c>
    </row>
    <row r="556">
      <c r="A556" s="35" t="n"/>
      <c r="B556" s="30" t="n"/>
      <c r="C556" s="36">
        <f>IF(OR(B556="",B555=""),"",B556-B555)</f>
        <v/>
      </c>
      <c r="D556" s="21">
        <f>IF(B556="","",B556/Settings!$B$3^2)</f>
        <v/>
      </c>
      <c r="E556" s="21">
        <f>IF(B556="","",AVERAGE(B550:B556))</f>
        <v/>
      </c>
      <c r="F556" s="36">
        <f>IF(B556="","",B556-Settings!$B$4)</f>
        <v/>
      </c>
    </row>
    <row r="557">
      <c r="A557" s="35" t="n"/>
      <c r="B557" s="30" t="n"/>
      <c r="C557" s="36">
        <f>IF(OR(B557="",B556=""),"",B557-B556)</f>
        <v/>
      </c>
      <c r="D557" s="21">
        <f>IF(B557="","",B557/Settings!$B$3^2)</f>
        <v/>
      </c>
      <c r="E557" s="21">
        <f>IF(B557="","",AVERAGE(B551:B557))</f>
        <v/>
      </c>
      <c r="F557" s="36">
        <f>IF(B557="","",B557-Settings!$B$4)</f>
        <v/>
      </c>
    </row>
    <row r="558">
      <c r="A558" s="35" t="n"/>
      <c r="B558" s="30" t="n"/>
      <c r="C558" s="36">
        <f>IF(OR(B558="",B557=""),"",B558-B557)</f>
        <v/>
      </c>
      <c r="D558" s="21">
        <f>IF(B558="","",B558/Settings!$B$3^2)</f>
        <v/>
      </c>
      <c r="E558" s="21">
        <f>IF(B558="","",AVERAGE(B552:B558))</f>
        <v/>
      </c>
      <c r="F558" s="36">
        <f>IF(B558="","",B558-Settings!$B$4)</f>
        <v/>
      </c>
    </row>
    <row r="559">
      <c r="A559" s="35" t="n"/>
      <c r="B559" s="30" t="n"/>
      <c r="C559" s="36">
        <f>IF(OR(B559="",B558=""),"",B559-B558)</f>
        <v/>
      </c>
      <c r="D559" s="21">
        <f>IF(B559="","",B559/Settings!$B$3^2)</f>
        <v/>
      </c>
      <c r="E559" s="21">
        <f>IF(B559="","",AVERAGE(B553:B559))</f>
        <v/>
      </c>
      <c r="F559" s="36">
        <f>IF(B559="","",B559-Settings!$B$4)</f>
        <v/>
      </c>
    </row>
    <row r="560">
      <c r="A560" s="35" t="n"/>
      <c r="B560" s="30" t="n"/>
      <c r="C560" s="36">
        <f>IF(OR(B560="",B559=""),"",B560-B559)</f>
        <v/>
      </c>
      <c r="D560" s="21">
        <f>IF(B560="","",B560/Settings!$B$3^2)</f>
        <v/>
      </c>
      <c r="E560" s="21">
        <f>IF(B560="","",AVERAGE(B554:B560))</f>
        <v/>
      </c>
      <c r="F560" s="36">
        <f>IF(B560="","",B560-Settings!$B$4)</f>
        <v/>
      </c>
    </row>
    <row r="561">
      <c r="A561" s="35" t="n"/>
      <c r="B561" s="30" t="n"/>
      <c r="C561" s="36">
        <f>IF(OR(B561="",B560=""),"",B561-B560)</f>
        <v/>
      </c>
      <c r="D561" s="21">
        <f>IF(B561="","",B561/Settings!$B$3^2)</f>
        <v/>
      </c>
      <c r="E561" s="21">
        <f>IF(B561="","",AVERAGE(B555:B561))</f>
        <v/>
      </c>
      <c r="F561" s="36">
        <f>IF(B561="","",B561-Settings!$B$4)</f>
        <v/>
      </c>
    </row>
    <row r="562">
      <c r="A562" s="35" t="n"/>
      <c r="B562" s="30" t="n"/>
      <c r="C562" s="36">
        <f>IF(OR(B562="",B561=""),"",B562-B561)</f>
        <v/>
      </c>
      <c r="D562" s="21">
        <f>IF(B562="","",B562/Settings!$B$3^2)</f>
        <v/>
      </c>
      <c r="E562" s="21">
        <f>IF(B562="","",AVERAGE(B556:B562))</f>
        <v/>
      </c>
      <c r="F562" s="36">
        <f>IF(B562="","",B562-Settings!$B$4)</f>
        <v/>
      </c>
    </row>
    <row r="563">
      <c r="A563" s="35" t="n"/>
      <c r="B563" s="30" t="n"/>
      <c r="C563" s="36">
        <f>IF(OR(B563="",B562=""),"",B563-B562)</f>
        <v/>
      </c>
      <c r="D563" s="21">
        <f>IF(B563="","",B563/Settings!$B$3^2)</f>
        <v/>
      </c>
      <c r="E563" s="21">
        <f>IF(B563="","",AVERAGE(B557:B563))</f>
        <v/>
      </c>
      <c r="F563" s="36">
        <f>IF(B563="","",B563-Settings!$B$4)</f>
        <v/>
      </c>
    </row>
    <row r="564">
      <c r="A564" s="35" t="n"/>
      <c r="B564" s="30" t="n"/>
      <c r="C564" s="36">
        <f>IF(OR(B564="",B563=""),"",B564-B563)</f>
        <v/>
      </c>
      <c r="D564" s="21">
        <f>IF(B564="","",B564/Settings!$B$3^2)</f>
        <v/>
      </c>
      <c r="E564" s="21">
        <f>IF(B564="","",AVERAGE(B558:B564))</f>
        <v/>
      </c>
      <c r="F564" s="36">
        <f>IF(B564="","",B564-Settings!$B$4)</f>
        <v/>
      </c>
    </row>
    <row r="565">
      <c r="A565" s="35" t="n"/>
      <c r="B565" s="30" t="n"/>
      <c r="C565" s="36">
        <f>IF(OR(B565="",B564=""),"",B565-B564)</f>
        <v/>
      </c>
      <c r="D565" s="21">
        <f>IF(B565="","",B565/Settings!$B$3^2)</f>
        <v/>
      </c>
      <c r="E565" s="21">
        <f>IF(B565="","",AVERAGE(B559:B565))</f>
        <v/>
      </c>
      <c r="F565" s="36">
        <f>IF(B565="","",B565-Settings!$B$4)</f>
        <v/>
      </c>
    </row>
    <row r="566">
      <c r="A566" s="35" t="n"/>
      <c r="B566" s="30" t="n"/>
      <c r="C566" s="36">
        <f>IF(OR(B566="",B565=""),"",B566-B565)</f>
        <v/>
      </c>
      <c r="D566" s="21">
        <f>IF(B566="","",B566/Settings!$B$3^2)</f>
        <v/>
      </c>
      <c r="E566" s="21">
        <f>IF(B566="","",AVERAGE(B560:B566))</f>
        <v/>
      </c>
      <c r="F566" s="36">
        <f>IF(B566="","",B566-Settings!$B$4)</f>
        <v/>
      </c>
    </row>
    <row r="567">
      <c r="A567" s="35" t="n"/>
      <c r="B567" s="30" t="n"/>
      <c r="C567" s="36">
        <f>IF(OR(B567="",B566=""),"",B567-B566)</f>
        <v/>
      </c>
      <c r="D567" s="21">
        <f>IF(B567="","",B567/Settings!$B$3^2)</f>
        <v/>
      </c>
      <c r="E567" s="21">
        <f>IF(B567="","",AVERAGE(B561:B567))</f>
        <v/>
      </c>
      <c r="F567" s="36">
        <f>IF(B567="","",B567-Settings!$B$4)</f>
        <v/>
      </c>
    </row>
    <row r="568">
      <c r="A568" s="35" t="n"/>
      <c r="B568" s="30" t="n"/>
      <c r="C568" s="36">
        <f>IF(OR(B568="",B567=""),"",B568-B567)</f>
        <v/>
      </c>
      <c r="D568" s="21">
        <f>IF(B568="","",B568/Settings!$B$3^2)</f>
        <v/>
      </c>
      <c r="E568" s="21">
        <f>IF(B568="","",AVERAGE(B562:B568))</f>
        <v/>
      </c>
      <c r="F568" s="36">
        <f>IF(B568="","",B568-Settings!$B$4)</f>
        <v/>
      </c>
    </row>
    <row r="569">
      <c r="A569" s="35" t="n"/>
      <c r="B569" s="30" t="n"/>
      <c r="C569" s="36">
        <f>IF(OR(B569="",B568=""),"",B569-B568)</f>
        <v/>
      </c>
      <c r="D569" s="21">
        <f>IF(B569="","",B569/Settings!$B$3^2)</f>
        <v/>
      </c>
      <c r="E569" s="21">
        <f>IF(B569="","",AVERAGE(B563:B569))</f>
        <v/>
      </c>
      <c r="F569" s="36">
        <f>IF(B569="","",B569-Settings!$B$4)</f>
        <v/>
      </c>
    </row>
    <row r="570">
      <c r="A570" s="35" t="n"/>
      <c r="B570" s="30" t="n"/>
      <c r="C570" s="36">
        <f>IF(OR(B570="",B569=""),"",B570-B569)</f>
        <v/>
      </c>
      <c r="D570" s="21">
        <f>IF(B570="","",B570/Settings!$B$3^2)</f>
        <v/>
      </c>
      <c r="E570" s="21">
        <f>IF(B570="","",AVERAGE(B564:B570))</f>
        <v/>
      </c>
      <c r="F570" s="36">
        <f>IF(B570="","",B570-Settings!$B$4)</f>
        <v/>
      </c>
    </row>
    <row r="571">
      <c r="A571" s="35" t="n"/>
      <c r="B571" s="30" t="n"/>
      <c r="C571" s="36">
        <f>IF(OR(B571="",B570=""),"",B571-B570)</f>
        <v/>
      </c>
      <c r="D571" s="21">
        <f>IF(B571="","",B571/Settings!$B$3^2)</f>
        <v/>
      </c>
      <c r="E571" s="21">
        <f>IF(B571="","",AVERAGE(B565:B571))</f>
        <v/>
      </c>
      <c r="F571" s="36">
        <f>IF(B571="","",B571-Settings!$B$4)</f>
        <v/>
      </c>
    </row>
    <row r="572">
      <c r="A572" s="35" t="n"/>
      <c r="B572" s="30" t="n"/>
      <c r="C572" s="36">
        <f>IF(OR(B572="",B571=""),"",B572-B571)</f>
        <v/>
      </c>
      <c r="D572" s="21">
        <f>IF(B572="","",B572/Settings!$B$3^2)</f>
        <v/>
      </c>
      <c r="E572" s="21">
        <f>IF(B572="","",AVERAGE(B566:B572))</f>
        <v/>
      </c>
      <c r="F572" s="36">
        <f>IF(B572="","",B572-Settings!$B$4)</f>
        <v/>
      </c>
    </row>
    <row r="573">
      <c r="A573" s="35" t="n"/>
      <c r="B573" s="30" t="n"/>
      <c r="C573" s="36">
        <f>IF(OR(B573="",B572=""),"",B573-B572)</f>
        <v/>
      </c>
      <c r="D573" s="21">
        <f>IF(B573="","",B573/Settings!$B$3^2)</f>
        <v/>
      </c>
      <c r="E573" s="21">
        <f>IF(B573="","",AVERAGE(B567:B573))</f>
        <v/>
      </c>
      <c r="F573" s="36">
        <f>IF(B573="","",B573-Settings!$B$4)</f>
        <v/>
      </c>
    </row>
    <row r="574">
      <c r="A574" s="35" t="n"/>
      <c r="B574" s="30" t="n"/>
      <c r="C574" s="36">
        <f>IF(OR(B574="",B573=""),"",B574-B573)</f>
        <v/>
      </c>
      <c r="D574" s="21">
        <f>IF(B574="","",B574/Settings!$B$3^2)</f>
        <v/>
      </c>
      <c r="E574" s="21">
        <f>IF(B574="","",AVERAGE(B568:B574))</f>
        <v/>
      </c>
      <c r="F574" s="36">
        <f>IF(B574="","",B574-Settings!$B$4)</f>
        <v/>
      </c>
    </row>
    <row r="575">
      <c r="A575" s="35" t="n"/>
      <c r="B575" s="30" t="n"/>
      <c r="C575" s="36">
        <f>IF(OR(B575="",B574=""),"",B575-B574)</f>
        <v/>
      </c>
      <c r="D575" s="21">
        <f>IF(B575="","",B575/Settings!$B$3^2)</f>
        <v/>
      </c>
      <c r="E575" s="21">
        <f>IF(B575="","",AVERAGE(B569:B575))</f>
        <v/>
      </c>
      <c r="F575" s="36">
        <f>IF(B575="","",B575-Settings!$B$4)</f>
        <v/>
      </c>
    </row>
    <row r="576">
      <c r="A576" s="35" t="n"/>
      <c r="B576" s="30" t="n"/>
      <c r="C576" s="36">
        <f>IF(OR(B576="",B575=""),"",B576-B575)</f>
        <v/>
      </c>
      <c r="D576" s="21">
        <f>IF(B576="","",B576/Settings!$B$3^2)</f>
        <v/>
      </c>
      <c r="E576" s="21">
        <f>IF(B576="","",AVERAGE(B570:B576))</f>
        <v/>
      </c>
      <c r="F576" s="36">
        <f>IF(B576="","",B576-Settings!$B$4)</f>
        <v/>
      </c>
    </row>
    <row r="577">
      <c r="A577" s="35" t="n"/>
      <c r="B577" s="30" t="n"/>
      <c r="C577" s="36">
        <f>IF(OR(B577="",B576=""),"",B577-B576)</f>
        <v/>
      </c>
      <c r="D577" s="21">
        <f>IF(B577="","",B577/Settings!$B$3^2)</f>
        <v/>
      </c>
      <c r="E577" s="21">
        <f>IF(B577="","",AVERAGE(B571:B577))</f>
        <v/>
      </c>
      <c r="F577" s="36">
        <f>IF(B577="","",B577-Settings!$B$4)</f>
        <v/>
      </c>
    </row>
    <row r="578">
      <c r="A578" s="35" t="n"/>
      <c r="B578" s="30" t="n"/>
      <c r="C578" s="36">
        <f>IF(OR(B578="",B577=""),"",B578-B577)</f>
        <v/>
      </c>
      <c r="D578" s="21">
        <f>IF(B578="","",B578/Settings!$B$3^2)</f>
        <v/>
      </c>
      <c r="E578" s="21">
        <f>IF(B578="","",AVERAGE(B572:B578))</f>
        <v/>
      </c>
      <c r="F578" s="36">
        <f>IF(B578="","",B578-Settings!$B$4)</f>
        <v/>
      </c>
    </row>
    <row r="579">
      <c r="A579" s="35" t="n"/>
      <c r="B579" s="30" t="n"/>
      <c r="C579" s="36">
        <f>IF(OR(B579="",B578=""),"",B579-B578)</f>
        <v/>
      </c>
      <c r="D579" s="21">
        <f>IF(B579="","",B579/Settings!$B$3^2)</f>
        <v/>
      </c>
      <c r="E579" s="21">
        <f>IF(B579="","",AVERAGE(B573:B579))</f>
        <v/>
      </c>
      <c r="F579" s="36">
        <f>IF(B579="","",B579-Settings!$B$4)</f>
        <v/>
      </c>
    </row>
    <row r="580">
      <c r="A580" s="35" t="n"/>
      <c r="B580" s="30" t="n"/>
      <c r="C580" s="36">
        <f>IF(OR(B580="",B579=""),"",B580-B579)</f>
        <v/>
      </c>
      <c r="D580" s="21">
        <f>IF(B580="","",B580/Settings!$B$3^2)</f>
        <v/>
      </c>
      <c r="E580" s="21">
        <f>IF(B580="","",AVERAGE(B574:B580))</f>
        <v/>
      </c>
      <c r="F580" s="36">
        <f>IF(B580="","",B580-Settings!$B$4)</f>
        <v/>
      </c>
    </row>
    <row r="581">
      <c r="A581" s="35" t="n"/>
      <c r="B581" s="30" t="n"/>
      <c r="C581" s="36">
        <f>IF(OR(B581="",B580=""),"",B581-B580)</f>
        <v/>
      </c>
      <c r="D581" s="21">
        <f>IF(B581="","",B581/Settings!$B$3^2)</f>
        <v/>
      </c>
      <c r="E581" s="21">
        <f>IF(B581="","",AVERAGE(B575:B581))</f>
        <v/>
      </c>
      <c r="F581" s="36">
        <f>IF(B581="","",B581-Settings!$B$4)</f>
        <v/>
      </c>
    </row>
    <row r="582">
      <c r="A582" s="35" t="n"/>
      <c r="B582" s="30" t="n"/>
      <c r="C582" s="36">
        <f>IF(OR(B582="",B581=""),"",B582-B581)</f>
        <v/>
      </c>
      <c r="D582" s="21">
        <f>IF(B582="","",B582/Settings!$B$3^2)</f>
        <v/>
      </c>
      <c r="E582" s="21">
        <f>IF(B582="","",AVERAGE(B576:B582))</f>
        <v/>
      </c>
      <c r="F582" s="36">
        <f>IF(B582="","",B582-Settings!$B$4)</f>
        <v/>
      </c>
    </row>
    <row r="583">
      <c r="A583" s="35" t="n"/>
      <c r="B583" s="30" t="n"/>
      <c r="C583" s="36">
        <f>IF(OR(B583="",B582=""),"",B583-B582)</f>
        <v/>
      </c>
      <c r="D583" s="21">
        <f>IF(B583="","",B583/Settings!$B$3^2)</f>
        <v/>
      </c>
      <c r="E583" s="21">
        <f>IF(B583="","",AVERAGE(B577:B583))</f>
        <v/>
      </c>
      <c r="F583" s="36">
        <f>IF(B583="","",B583-Settings!$B$4)</f>
        <v/>
      </c>
    </row>
    <row r="584">
      <c r="A584" s="35" t="n"/>
      <c r="B584" s="30" t="n"/>
      <c r="C584" s="36">
        <f>IF(OR(B584="",B583=""),"",B584-B583)</f>
        <v/>
      </c>
      <c r="D584" s="21">
        <f>IF(B584="","",B584/Settings!$B$3^2)</f>
        <v/>
      </c>
      <c r="E584" s="21">
        <f>IF(B584="","",AVERAGE(B578:B584))</f>
        <v/>
      </c>
      <c r="F584" s="36">
        <f>IF(B584="","",B584-Settings!$B$4)</f>
        <v/>
      </c>
    </row>
    <row r="585">
      <c r="A585" s="35" t="n"/>
      <c r="B585" s="30" t="n"/>
      <c r="C585" s="36">
        <f>IF(OR(B585="",B584=""),"",B585-B584)</f>
        <v/>
      </c>
      <c r="D585" s="21">
        <f>IF(B585="","",B585/Settings!$B$3^2)</f>
        <v/>
      </c>
      <c r="E585" s="21">
        <f>IF(B585="","",AVERAGE(B579:B585))</f>
        <v/>
      </c>
      <c r="F585" s="36">
        <f>IF(B585="","",B585-Settings!$B$4)</f>
        <v/>
      </c>
    </row>
    <row r="586">
      <c r="A586" s="35" t="n"/>
      <c r="B586" s="30" t="n"/>
      <c r="C586" s="36">
        <f>IF(OR(B586="",B585=""),"",B586-B585)</f>
        <v/>
      </c>
      <c r="D586" s="21">
        <f>IF(B586="","",B586/Settings!$B$3^2)</f>
        <v/>
      </c>
      <c r="E586" s="21">
        <f>IF(B586="","",AVERAGE(B580:B586))</f>
        <v/>
      </c>
      <c r="F586" s="36">
        <f>IF(B586="","",B586-Settings!$B$4)</f>
        <v/>
      </c>
    </row>
    <row r="587">
      <c r="A587" s="35" t="n"/>
      <c r="B587" s="30" t="n"/>
      <c r="C587" s="36">
        <f>IF(OR(B587="",B586=""),"",B587-B586)</f>
        <v/>
      </c>
      <c r="D587" s="21">
        <f>IF(B587="","",B587/Settings!$B$3^2)</f>
        <v/>
      </c>
      <c r="E587" s="21">
        <f>IF(B587="","",AVERAGE(B581:B587))</f>
        <v/>
      </c>
      <c r="F587" s="36">
        <f>IF(B587="","",B587-Settings!$B$4)</f>
        <v/>
      </c>
    </row>
    <row r="588">
      <c r="A588" s="35" t="n"/>
      <c r="B588" s="30" t="n"/>
      <c r="C588" s="36">
        <f>IF(OR(B588="",B587=""),"",B588-B587)</f>
        <v/>
      </c>
      <c r="D588" s="21">
        <f>IF(B588="","",B588/Settings!$B$3^2)</f>
        <v/>
      </c>
      <c r="E588" s="21">
        <f>IF(B588="","",AVERAGE(B582:B588))</f>
        <v/>
      </c>
      <c r="F588" s="36">
        <f>IF(B588="","",B588-Settings!$B$4)</f>
        <v/>
      </c>
    </row>
    <row r="589">
      <c r="A589" s="35" t="n"/>
      <c r="B589" s="30" t="n"/>
      <c r="C589" s="36">
        <f>IF(OR(B589="",B588=""),"",B589-B588)</f>
        <v/>
      </c>
      <c r="D589" s="21">
        <f>IF(B589="","",B589/Settings!$B$3^2)</f>
        <v/>
      </c>
      <c r="E589" s="21">
        <f>IF(B589="","",AVERAGE(B583:B589))</f>
        <v/>
      </c>
      <c r="F589" s="36">
        <f>IF(B589="","",B589-Settings!$B$4)</f>
        <v/>
      </c>
    </row>
    <row r="590">
      <c r="A590" s="35" t="n"/>
      <c r="B590" s="30" t="n"/>
      <c r="C590" s="36">
        <f>IF(OR(B590="",B589=""),"",B590-B589)</f>
        <v/>
      </c>
      <c r="D590" s="21">
        <f>IF(B590="","",B590/Settings!$B$3^2)</f>
        <v/>
      </c>
      <c r="E590" s="21">
        <f>IF(B590="","",AVERAGE(B584:B590))</f>
        <v/>
      </c>
      <c r="F590" s="36">
        <f>IF(B590="","",B590-Settings!$B$4)</f>
        <v/>
      </c>
    </row>
    <row r="591">
      <c r="A591" s="35" t="n"/>
      <c r="B591" s="30" t="n"/>
      <c r="C591" s="36">
        <f>IF(OR(B591="",B590=""),"",B591-B590)</f>
        <v/>
      </c>
      <c r="D591" s="21">
        <f>IF(B591="","",B591/Settings!$B$3^2)</f>
        <v/>
      </c>
      <c r="E591" s="21">
        <f>IF(B591="","",AVERAGE(B585:B591))</f>
        <v/>
      </c>
      <c r="F591" s="36">
        <f>IF(B591="","",B591-Settings!$B$4)</f>
        <v/>
      </c>
    </row>
    <row r="592">
      <c r="A592" s="35" t="n"/>
      <c r="B592" s="30" t="n"/>
      <c r="C592" s="36">
        <f>IF(OR(B592="",B591=""),"",B592-B591)</f>
        <v/>
      </c>
      <c r="D592" s="21">
        <f>IF(B592="","",B592/Settings!$B$3^2)</f>
        <v/>
      </c>
      <c r="E592" s="21">
        <f>IF(B592="","",AVERAGE(B586:B592))</f>
        <v/>
      </c>
      <c r="F592" s="36">
        <f>IF(B592="","",B592-Settings!$B$4)</f>
        <v/>
      </c>
    </row>
    <row r="593">
      <c r="A593" s="35" t="n"/>
      <c r="B593" s="30" t="n"/>
      <c r="C593" s="36">
        <f>IF(OR(B593="",B592=""),"",B593-B592)</f>
        <v/>
      </c>
      <c r="D593" s="21">
        <f>IF(B593="","",B593/Settings!$B$3^2)</f>
        <v/>
      </c>
      <c r="E593" s="21">
        <f>IF(B593="","",AVERAGE(B587:B593))</f>
        <v/>
      </c>
      <c r="F593" s="36">
        <f>IF(B593="","",B593-Settings!$B$4)</f>
        <v/>
      </c>
    </row>
    <row r="594">
      <c r="A594" s="35" t="n"/>
      <c r="B594" s="30" t="n"/>
      <c r="C594" s="36">
        <f>IF(OR(B594="",B593=""),"",B594-B593)</f>
        <v/>
      </c>
      <c r="D594" s="21">
        <f>IF(B594="","",B594/Settings!$B$3^2)</f>
        <v/>
      </c>
      <c r="E594" s="21">
        <f>IF(B594="","",AVERAGE(B588:B594))</f>
        <v/>
      </c>
      <c r="F594" s="36">
        <f>IF(B594="","",B594-Settings!$B$4)</f>
        <v/>
      </c>
    </row>
    <row r="595">
      <c r="A595" s="35" t="n"/>
      <c r="B595" s="30" t="n"/>
      <c r="C595" s="36">
        <f>IF(OR(B595="",B594=""),"",B595-B594)</f>
        <v/>
      </c>
      <c r="D595" s="21">
        <f>IF(B595="","",B595/Settings!$B$3^2)</f>
        <v/>
      </c>
      <c r="E595" s="21">
        <f>IF(B595="","",AVERAGE(B589:B595))</f>
        <v/>
      </c>
      <c r="F595" s="36">
        <f>IF(B595="","",B595-Settings!$B$4)</f>
        <v/>
      </c>
    </row>
    <row r="596">
      <c r="A596" s="35" t="n"/>
      <c r="B596" s="30" t="n"/>
      <c r="C596" s="36">
        <f>IF(OR(B596="",B595=""),"",B596-B595)</f>
        <v/>
      </c>
      <c r="D596" s="21">
        <f>IF(B596="","",B596/Settings!$B$3^2)</f>
        <v/>
      </c>
      <c r="E596" s="21">
        <f>IF(B596="","",AVERAGE(B590:B596))</f>
        <v/>
      </c>
      <c r="F596" s="36">
        <f>IF(B596="","",B596-Settings!$B$4)</f>
        <v/>
      </c>
    </row>
    <row r="597">
      <c r="A597" s="35" t="n"/>
      <c r="B597" s="30" t="n"/>
      <c r="C597" s="36">
        <f>IF(OR(B597="",B596=""),"",B597-B596)</f>
        <v/>
      </c>
      <c r="D597" s="21">
        <f>IF(B597="","",B597/Settings!$B$3^2)</f>
        <v/>
      </c>
      <c r="E597" s="21">
        <f>IF(B597="","",AVERAGE(B591:B597))</f>
        <v/>
      </c>
      <c r="F597" s="36">
        <f>IF(B597="","",B597-Settings!$B$4)</f>
        <v/>
      </c>
    </row>
    <row r="598">
      <c r="A598" s="35" t="n"/>
      <c r="B598" s="30" t="n"/>
      <c r="C598" s="36">
        <f>IF(OR(B598="",B597=""),"",B598-B597)</f>
        <v/>
      </c>
      <c r="D598" s="21">
        <f>IF(B598="","",B598/Settings!$B$3^2)</f>
        <v/>
      </c>
      <c r="E598" s="21">
        <f>IF(B598="","",AVERAGE(B592:B598))</f>
        <v/>
      </c>
      <c r="F598" s="36">
        <f>IF(B598="","",B598-Settings!$B$4)</f>
        <v/>
      </c>
    </row>
    <row r="599">
      <c r="A599" s="35" t="n"/>
      <c r="B599" s="30" t="n"/>
      <c r="C599" s="36">
        <f>IF(OR(B599="",B598=""),"",B599-B598)</f>
        <v/>
      </c>
      <c r="D599" s="21">
        <f>IF(B599="","",B599/Settings!$B$3^2)</f>
        <v/>
      </c>
      <c r="E599" s="21">
        <f>IF(B599="","",AVERAGE(B593:B599))</f>
        <v/>
      </c>
      <c r="F599" s="36">
        <f>IF(B599="","",B599-Settings!$B$4)</f>
        <v/>
      </c>
    </row>
    <row r="600">
      <c r="A600" s="35" t="n"/>
      <c r="B600" s="30" t="n"/>
      <c r="C600" s="36">
        <f>IF(OR(B600="",B599=""),"",B600-B599)</f>
        <v/>
      </c>
      <c r="D600" s="21">
        <f>IF(B600="","",B600/Settings!$B$3^2)</f>
        <v/>
      </c>
      <c r="E600" s="21">
        <f>IF(B600="","",AVERAGE(B594:B600))</f>
        <v/>
      </c>
      <c r="F600" s="36">
        <f>IF(B600="","",B600-Settings!$B$4)</f>
        <v/>
      </c>
    </row>
    <row r="601">
      <c r="A601" s="35" t="n"/>
      <c r="B601" s="30" t="n"/>
      <c r="C601" s="36">
        <f>IF(OR(B601="",B600=""),"",B601-B600)</f>
        <v/>
      </c>
      <c r="D601" s="21">
        <f>IF(B601="","",B601/Settings!$B$3^2)</f>
        <v/>
      </c>
      <c r="E601" s="21">
        <f>IF(B601="","",AVERAGE(B595:B601))</f>
        <v/>
      </c>
      <c r="F601" s="36">
        <f>IF(B601="","",B601-Settings!$B$4)</f>
        <v/>
      </c>
    </row>
    <row r="602">
      <c r="A602" s="35" t="n"/>
      <c r="B602" s="30" t="n"/>
      <c r="C602" s="36">
        <f>IF(OR(B602="",B601=""),"",B602-B601)</f>
        <v/>
      </c>
      <c r="D602" s="21">
        <f>IF(B602="","",B602/Settings!$B$3^2)</f>
        <v/>
      </c>
      <c r="E602" s="21">
        <f>IF(B602="","",AVERAGE(B596:B602))</f>
        <v/>
      </c>
      <c r="F602" s="36">
        <f>IF(B602="","",B602-Settings!$B$4)</f>
        <v/>
      </c>
    </row>
    <row r="603">
      <c r="A603" s="35" t="n"/>
      <c r="B603" s="30" t="n"/>
      <c r="C603" s="36">
        <f>IF(OR(B603="",B602=""),"",B603-B602)</f>
        <v/>
      </c>
      <c r="D603" s="21">
        <f>IF(B603="","",B603/Settings!$B$3^2)</f>
        <v/>
      </c>
      <c r="E603" s="21">
        <f>IF(B603="","",AVERAGE(B597:B603))</f>
        <v/>
      </c>
      <c r="F603" s="36">
        <f>IF(B603="","",B603-Settings!$B$4)</f>
        <v/>
      </c>
    </row>
    <row r="604">
      <c r="A604" s="35" t="n"/>
      <c r="B604" s="30" t="n"/>
      <c r="C604" s="36">
        <f>IF(OR(B604="",B603=""),"",B604-B603)</f>
        <v/>
      </c>
      <c r="D604" s="21">
        <f>IF(B604="","",B604/Settings!$B$3^2)</f>
        <v/>
      </c>
      <c r="E604" s="21">
        <f>IF(B604="","",AVERAGE(B598:B604))</f>
        <v/>
      </c>
      <c r="F604" s="36">
        <f>IF(B604="","",B604-Settings!$B$4)</f>
        <v/>
      </c>
    </row>
    <row r="605">
      <c r="A605" s="35" t="n"/>
      <c r="B605" s="30" t="n"/>
      <c r="C605" s="36">
        <f>IF(OR(B605="",B604=""),"",B605-B604)</f>
        <v/>
      </c>
      <c r="D605" s="21">
        <f>IF(B605="","",B605/Settings!$B$3^2)</f>
        <v/>
      </c>
      <c r="E605" s="21">
        <f>IF(B605="","",AVERAGE(B599:B605))</f>
        <v/>
      </c>
      <c r="F605" s="36">
        <f>IF(B605="","",B605-Settings!$B$4)</f>
        <v/>
      </c>
    </row>
    <row r="606">
      <c r="A606" s="35" t="n"/>
      <c r="B606" s="30" t="n"/>
      <c r="C606" s="36">
        <f>IF(OR(B606="",B605=""),"",B606-B605)</f>
        <v/>
      </c>
      <c r="D606" s="21">
        <f>IF(B606="","",B606/Settings!$B$3^2)</f>
        <v/>
      </c>
      <c r="E606" s="21">
        <f>IF(B606="","",AVERAGE(B600:B606))</f>
        <v/>
      </c>
      <c r="F606" s="36">
        <f>IF(B606="","",B606-Settings!$B$4)</f>
        <v/>
      </c>
    </row>
    <row r="607">
      <c r="A607" s="35" t="n"/>
      <c r="B607" s="30" t="n"/>
      <c r="C607" s="36">
        <f>IF(OR(B607="",B606=""),"",B607-B606)</f>
        <v/>
      </c>
      <c r="D607" s="21">
        <f>IF(B607="","",B607/Settings!$B$3^2)</f>
        <v/>
      </c>
      <c r="E607" s="21">
        <f>IF(B607="","",AVERAGE(B601:B607))</f>
        <v/>
      </c>
      <c r="F607" s="36">
        <f>IF(B607="","",B607-Settings!$B$4)</f>
        <v/>
      </c>
    </row>
    <row r="608">
      <c r="A608" s="35" t="n"/>
      <c r="B608" s="30" t="n"/>
      <c r="C608" s="36">
        <f>IF(OR(B608="",B607=""),"",B608-B607)</f>
        <v/>
      </c>
      <c r="D608" s="21">
        <f>IF(B608="","",B608/Settings!$B$3^2)</f>
        <v/>
      </c>
      <c r="E608" s="21">
        <f>IF(B608="","",AVERAGE(B602:B608))</f>
        <v/>
      </c>
      <c r="F608" s="36">
        <f>IF(B608="","",B608-Settings!$B$4)</f>
        <v/>
      </c>
    </row>
    <row r="609">
      <c r="A609" s="35" t="n"/>
      <c r="B609" s="30" t="n"/>
      <c r="C609" s="36">
        <f>IF(OR(B609="",B608=""),"",B609-B608)</f>
        <v/>
      </c>
      <c r="D609" s="21">
        <f>IF(B609="","",B609/Settings!$B$3^2)</f>
        <v/>
      </c>
      <c r="E609" s="21">
        <f>IF(B609="","",AVERAGE(B603:B609))</f>
        <v/>
      </c>
      <c r="F609" s="36">
        <f>IF(B609="","",B609-Settings!$B$4)</f>
        <v/>
      </c>
    </row>
    <row r="610">
      <c r="A610" s="35" t="n"/>
      <c r="B610" s="30" t="n"/>
      <c r="C610" s="36">
        <f>IF(OR(B610="",B609=""),"",B610-B609)</f>
        <v/>
      </c>
      <c r="D610" s="21">
        <f>IF(B610="","",B610/Settings!$B$3^2)</f>
        <v/>
      </c>
      <c r="E610" s="21">
        <f>IF(B610="","",AVERAGE(B604:B610))</f>
        <v/>
      </c>
      <c r="F610" s="36">
        <f>IF(B610="","",B610-Settings!$B$4)</f>
        <v/>
      </c>
    </row>
    <row r="611">
      <c r="A611" s="35" t="n"/>
      <c r="B611" s="30" t="n"/>
      <c r="C611" s="36">
        <f>IF(OR(B611="",B610=""),"",B611-B610)</f>
        <v/>
      </c>
      <c r="D611" s="21">
        <f>IF(B611="","",B611/Settings!$B$3^2)</f>
        <v/>
      </c>
      <c r="E611" s="21">
        <f>IF(B611="","",AVERAGE(B605:B611))</f>
        <v/>
      </c>
      <c r="F611" s="36">
        <f>IF(B611="","",B611-Settings!$B$4)</f>
        <v/>
      </c>
    </row>
    <row r="612">
      <c r="A612" s="35" t="n"/>
      <c r="B612" s="30" t="n"/>
      <c r="C612" s="36">
        <f>IF(OR(B612="",B611=""),"",B612-B611)</f>
        <v/>
      </c>
      <c r="D612" s="21">
        <f>IF(B612="","",B612/Settings!$B$3^2)</f>
        <v/>
      </c>
      <c r="E612" s="21">
        <f>IF(B612="","",AVERAGE(B606:B612))</f>
        <v/>
      </c>
      <c r="F612" s="36">
        <f>IF(B612="","",B612-Settings!$B$4)</f>
        <v/>
      </c>
    </row>
    <row r="613">
      <c r="A613" s="35" t="n"/>
      <c r="B613" s="30" t="n"/>
      <c r="C613" s="36">
        <f>IF(OR(B613="",B612=""),"",B613-B612)</f>
        <v/>
      </c>
      <c r="D613" s="21">
        <f>IF(B613="","",B613/Settings!$B$3^2)</f>
        <v/>
      </c>
      <c r="E613" s="21">
        <f>IF(B613="","",AVERAGE(B607:B613))</f>
        <v/>
      </c>
      <c r="F613" s="36">
        <f>IF(B613="","",B613-Settings!$B$4)</f>
        <v/>
      </c>
    </row>
    <row r="614">
      <c r="A614" s="35" t="n"/>
      <c r="B614" s="30" t="n"/>
      <c r="C614" s="36">
        <f>IF(OR(B614="",B613=""),"",B614-B613)</f>
        <v/>
      </c>
      <c r="D614" s="21">
        <f>IF(B614="","",B614/Settings!$B$3^2)</f>
        <v/>
      </c>
      <c r="E614" s="21">
        <f>IF(B614="","",AVERAGE(B608:B614))</f>
        <v/>
      </c>
      <c r="F614" s="36">
        <f>IF(B614="","",B614-Settings!$B$4)</f>
        <v/>
      </c>
    </row>
    <row r="615">
      <c r="A615" s="35" t="n"/>
      <c r="B615" s="30" t="n"/>
      <c r="C615" s="36">
        <f>IF(OR(B615="",B614=""),"",B615-B614)</f>
        <v/>
      </c>
      <c r="D615" s="21">
        <f>IF(B615="","",B615/Settings!$B$3^2)</f>
        <v/>
      </c>
      <c r="E615" s="21">
        <f>IF(B615="","",AVERAGE(B609:B615))</f>
        <v/>
      </c>
      <c r="F615" s="36">
        <f>IF(B615="","",B615-Settings!$B$4)</f>
        <v/>
      </c>
    </row>
    <row r="616">
      <c r="A616" s="35" t="n"/>
      <c r="B616" s="30" t="n"/>
      <c r="C616" s="36">
        <f>IF(OR(B616="",B615=""),"",B616-B615)</f>
        <v/>
      </c>
      <c r="D616" s="21">
        <f>IF(B616="","",B616/Settings!$B$3^2)</f>
        <v/>
      </c>
      <c r="E616" s="21">
        <f>IF(B616="","",AVERAGE(B610:B616))</f>
        <v/>
      </c>
      <c r="F616" s="36">
        <f>IF(B616="","",B616-Settings!$B$4)</f>
        <v/>
      </c>
    </row>
    <row r="617">
      <c r="A617" s="35" t="n"/>
      <c r="B617" s="30" t="n"/>
      <c r="C617" s="36">
        <f>IF(OR(B617="",B616=""),"",B617-B616)</f>
        <v/>
      </c>
      <c r="D617" s="21">
        <f>IF(B617="","",B617/Settings!$B$3^2)</f>
        <v/>
      </c>
      <c r="E617" s="21">
        <f>IF(B617="","",AVERAGE(B611:B617))</f>
        <v/>
      </c>
      <c r="F617" s="36">
        <f>IF(B617="","",B617-Settings!$B$4)</f>
        <v/>
      </c>
    </row>
    <row r="618">
      <c r="A618" s="35" t="n"/>
      <c r="B618" s="30" t="n"/>
      <c r="C618" s="36">
        <f>IF(OR(B618="",B617=""),"",B618-B617)</f>
        <v/>
      </c>
      <c r="D618" s="21">
        <f>IF(B618="","",B618/Settings!$B$3^2)</f>
        <v/>
      </c>
      <c r="E618" s="21">
        <f>IF(B618="","",AVERAGE(B612:B618))</f>
        <v/>
      </c>
      <c r="F618" s="36">
        <f>IF(B618="","",B618-Settings!$B$4)</f>
        <v/>
      </c>
    </row>
    <row r="619">
      <c r="A619" s="35" t="n"/>
      <c r="B619" s="30" t="n"/>
      <c r="C619" s="36">
        <f>IF(OR(B619="",B618=""),"",B619-B618)</f>
        <v/>
      </c>
      <c r="D619" s="21">
        <f>IF(B619="","",B619/Settings!$B$3^2)</f>
        <v/>
      </c>
      <c r="E619" s="21">
        <f>IF(B619="","",AVERAGE(B613:B619))</f>
        <v/>
      </c>
      <c r="F619" s="36">
        <f>IF(B619="","",B619-Settings!$B$4)</f>
        <v/>
      </c>
    </row>
    <row r="620">
      <c r="A620" s="35" t="n"/>
      <c r="B620" s="30" t="n"/>
      <c r="C620" s="36">
        <f>IF(OR(B620="",B619=""),"",B620-B619)</f>
        <v/>
      </c>
      <c r="D620" s="21">
        <f>IF(B620="","",B620/Settings!$B$3^2)</f>
        <v/>
      </c>
      <c r="E620" s="21">
        <f>IF(B620="","",AVERAGE(B614:B620))</f>
        <v/>
      </c>
      <c r="F620" s="36">
        <f>IF(B620="","",B620-Settings!$B$4)</f>
        <v/>
      </c>
    </row>
    <row r="621">
      <c r="A621" s="35" t="n"/>
      <c r="B621" s="30" t="n"/>
      <c r="C621" s="36">
        <f>IF(OR(B621="",B620=""),"",B621-B620)</f>
        <v/>
      </c>
      <c r="D621" s="21">
        <f>IF(B621="","",B621/Settings!$B$3^2)</f>
        <v/>
      </c>
      <c r="E621" s="21">
        <f>IF(B621="","",AVERAGE(B615:B621))</f>
        <v/>
      </c>
      <c r="F621" s="36">
        <f>IF(B621="","",B621-Settings!$B$4)</f>
        <v/>
      </c>
    </row>
    <row r="622">
      <c r="A622" s="35" t="n"/>
      <c r="B622" s="30" t="n"/>
      <c r="C622" s="36">
        <f>IF(OR(B622="",B621=""),"",B622-B621)</f>
        <v/>
      </c>
      <c r="D622" s="21">
        <f>IF(B622="","",B622/Settings!$B$3^2)</f>
        <v/>
      </c>
      <c r="E622" s="21">
        <f>IF(B622="","",AVERAGE(B616:B622))</f>
        <v/>
      </c>
      <c r="F622" s="36">
        <f>IF(B622="","",B622-Settings!$B$4)</f>
        <v/>
      </c>
    </row>
    <row r="623">
      <c r="A623" s="35" t="n"/>
      <c r="B623" s="30" t="n"/>
      <c r="C623" s="36">
        <f>IF(OR(B623="",B622=""),"",B623-B622)</f>
        <v/>
      </c>
      <c r="D623" s="21">
        <f>IF(B623="","",B623/Settings!$B$3^2)</f>
        <v/>
      </c>
      <c r="E623" s="21">
        <f>IF(B623="","",AVERAGE(B617:B623))</f>
        <v/>
      </c>
      <c r="F623" s="36">
        <f>IF(B623="","",B623-Settings!$B$4)</f>
        <v/>
      </c>
    </row>
    <row r="624">
      <c r="A624" s="35" t="n"/>
      <c r="B624" s="30" t="n"/>
      <c r="C624" s="36">
        <f>IF(OR(B624="",B623=""),"",B624-B623)</f>
        <v/>
      </c>
      <c r="D624" s="21">
        <f>IF(B624="","",B624/Settings!$B$3^2)</f>
        <v/>
      </c>
      <c r="E624" s="21">
        <f>IF(B624="","",AVERAGE(B618:B624))</f>
        <v/>
      </c>
      <c r="F624" s="36">
        <f>IF(B624="","",B624-Settings!$B$4)</f>
        <v/>
      </c>
    </row>
    <row r="625">
      <c r="A625" s="35" t="n"/>
      <c r="B625" s="30" t="n"/>
      <c r="C625" s="36">
        <f>IF(OR(B625="",B624=""),"",B625-B624)</f>
        <v/>
      </c>
      <c r="D625" s="21">
        <f>IF(B625="","",B625/Settings!$B$3^2)</f>
        <v/>
      </c>
      <c r="E625" s="21">
        <f>IF(B625="","",AVERAGE(B619:B625))</f>
        <v/>
      </c>
      <c r="F625" s="36">
        <f>IF(B625="","",B625-Settings!$B$4)</f>
        <v/>
      </c>
    </row>
    <row r="626">
      <c r="A626" s="35" t="n"/>
      <c r="B626" s="30" t="n"/>
      <c r="C626" s="36">
        <f>IF(OR(B626="",B625=""),"",B626-B625)</f>
        <v/>
      </c>
      <c r="D626" s="21">
        <f>IF(B626="","",B626/Settings!$B$3^2)</f>
        <v/>
      </c>
      <c r="E626" s="21">
        <f>IF(B626="","",AVERAGE(B620:B626))</f>
        <v/>
      </c>
      <c r="F626" s="36">
        <f>IF(B626="","",B626-Settings!$B$4)</f>
        <v/>
      </c>
    </row>
    <row r="627">
      <c r="A627" s="35" t="n"/>
      <c r="B627" s="30" t="n"/>
      <c r="C627" s="36">
        <f>IF(OR(B627="",B626=""),"",B627-B626)</f>
        <v/>
      </c>
      <c r="D627" s="21">
        <f>IF(B627="","",B627/Settings!$B$3^2)</f>
        <v/>
      </c>
      <c r="E627" s="21">
        <f>IF(B627="","",AVERAGE(B621:B627))</f>
        <v/>
      </c>
      <c r="F627" s="36">
        <f>IF(B627="","",B627-Settings!$B$4)</f>
        <v/>
      </c>
    </row>
    <row r="628">
      <c r="A628" s="35" t="n"/>
      <c r="B628" s="30" t="n"/>
      <c r="C628" s="36">
        <f>IF(OR(B628="",B627=""),"",B628-B627)</f>
        <v/>
      </c>
      <c r="D628" s="21">
        <f>IF(B628="","",B628/Settings!$B$3^2)</f>
        <v/>
      </c>
      <c r="E628" s="21">
        <f>IF(B628="","",AVERAGE(B622:B628))</f>
        <v/>
      </c>
      <c r="F628" s="36">
        <f>IF(B628="","",B628-Settings!$B$4)</f>
        <v/>
      </c>
    </row>
    <row r="629">
      <c r="A629" s="35" t="n"/>
      <c r="B629" s="30" t="n"/>
      <c r="C629" s="36">
        <f>IF(OR(B629="",B628=""),"",B629-B628)</f>
        <v/>
      </c>
      <c r="D629" s="21">
        <f>IF(B629="","",B629/Settings!$B$3^2)</f>
        <v/>
      </c>
      <c r="E629" s="21">
        <f>IF(B629="","",AVERAGE(B623:B629))</f>
        <v/>
      </c>
      <c r="F629" s="36">
        <f>IF(B629="","",B629-Settings!$B$4)</f>
        <v/>
      </c>
    </row>
    <row r="630">
      <c r="A630" s="35" t="n"/>
      <c r="B630" s="30" t="n"/>
      <c r="C630" s="36">
        <f>IF(OR(B630="",B629=""),"",B630-B629)</f>
        <v/>
      </c>
      <c r="D630" s="21">
        <f>IF(B630="","",B630/Settings!$B$3^2)</f>
        <v/>
      </c>
      <c r="E630" s="21">
        <f>IF(B630="","",AVERAGE(B624:B630))</f>
        <v/>
      </c>
      <c r="F630" s="36">
        <f>IF(B630="","",B630-Settings!$B$4)</f>
        <v/>
      </c>
    </row>
    <row r="631">
      <c r="A631" s="35" t="n"/>
      <c r="B631" s="30" t="n"/>
      <c r="C631" s="36">
        <f>IF(OR(B631="",B630=""),"",B631-B630)</f>
        <v/>
      </c>
      <c r="D631" s="21">
        <f>IF(B631="","",B631/Settings!$B$3^2)</f>
        <v/>
      </c>
      <c r="E631" s="21">
        <f>IF(B631="","",AVERAGE(B625:B631))</f>
        <v/>
      </c>
      <c r="F631" s="36">
        <f>IF(B631="","",B631-Settings!$B$4)</f>
        <v/>
      </c>
    </row>
    <row r="632">
      <c r="A632" s="35" t="n"/>
      <c r="B632" s="30" t="n"/>
      <c r="C632" s="36">
        <f>IF(OR(B632="",B631=""),"",B632-B631)</f>
        <v/>
      </c>
      <c r="D632" s="21">
        <f>IF(B632="","",B632/Settings!$B$3^2)</f>
        <v/>
      </c>
      <c r="E632" s="21">
        <f>IF(B632="","",AVERAGE(B626:B632))</f>
        <v/>
      </c>
      <c r="F632" s="36">
        <f>IF(B632="","",B632-Settings!$B$4)</f>
        <v/>
      </c>
    </row>
    <row r="633">
      <c r="A633" s="35" t="n"/>
      <c r="B633" s="30" t="n"/>
      <c r="C633" s="36">
        <f>IF(OR(B633="",B632=""),"",B633-B632)</f>
        <v/>
      </c>
      <c r="D633" s="21">
        <f>IF(B633="","",B633/Settings!$B$3^2)</f>
        <v/>
      </c>
      <c r="E633" s="21">
        <f>IF(B633="","",AVERAGE(B627:B633))</f>
        <v/>
      </c>
      <c r="F633" s="36">
        <f>IF(B633="","",B633-Settings!$B$4)</f>
        <v/>
      </c>
    </row>
    <row r="634">
      <c r="A634" s="35" t="n"/>
      <c r="B634" s="30" t="n"/>
      <c r="C634" s="36">
        <f>IF(OR(B634="",B633=""),"",B634-B633)</f>
        <v/>
      </c>
      <c r="D634" s="21">
        <f>IF(B634="","",B634/Settings!$B$3^2)</f>
        <v/>
      </c>
      <c r="E634" s="21">
        <f>IF(B634="","",AVERAGE(B628:B634))</f>
        <v/>
      </c>
      <c r="F634" s="36">
        <f>IF(B634="","",B634-Settings!$B$4)</f>
        <v/>
      </c>
    </row>
    <row r="635">
      <c r="A635" s="35" t="n"/>
      <c r="B635" s="30" t="n"/>
      <c r="C635" s="36">
        <f>IF(OR(B635="",B634=""),"",B635-B634)</f>
        <v/>
      </c>
      <c r="D635" s="21">
        <f>IF(B635="","",B635/Settings!$B$3^2)</f>
        <v/>
      </c>
      <c r="E635" s="21">
        <f>IF(B635="","",AVERAGE(B629:B635))</f>
        <v/>
      </c>
      <c r="F635" s="36">
        <f>IF(B635="","",B635-Settings!$B$4)</f>
        <v/>
      </c>
    </row>
    <row r="636">
      <c r="A636" s="35" t="n"/>
      <c r="B636" s="30" t="n"/>
      <c r="C636" s="36">
        <f>IF(OR(B636="",B635=""),"",B636-B635)</f>
        <v/>
      </c>
      <c r="D636" s="21">
        <f>IF(B636="","",B636/Settings!$B$3^2)</f>
        <v/>
      </c>
      <c r="E636" s="21">
        <f>IF(B636="","",AVERAGE(B630:B636))</f>
        <v/>
      </c>
      <c r="F636" s="36">
        <f>IF(B636="","",B636-Settings!$B$4)</f>
        <v/>
      </c>
    </row>
    <row r="637">
      <c r="A637" s="35" t="n"/>
      <c r="B637" s="30" t="n"/>
      <c r="C637" s="36">
        <f>IF(OR(B637="",B636=""),"",B637-B636)</f>
        <v/>
      </c>
      <c r="D637" s="21">
        <f>IF(B637="","",B637/Settings!$B$3^2)</f>
        <v/>
      </c>
      <c r="E637" s="21">
        <f>IF(B637="","",AVERAGE(B631:B637))</f>
        <v/>
      </c>
      <c r="F637" s="36">
        <f>IF(B637="","",B637-Settings!$B$4)</f>
        <v/>
      </c>
    </row>
    <row r="638">
      <c r="A638" s="35" t="n"/>
      <c r="B638" s="30" t="n"/>
      <c r="C638" s="36">
        <f>IF(OR(B638="",B637=""),"",B638-B637)</f>
        <v/>
      </c>
      <c r="D638" s="21">
        <f>IF(B638="","",B638/Settings!$B$3^2)</f>
        <v/>
      </c>
      <c r="E638" s="21">
        <f>IF(B638="","",AVERAGE(B632:B638))</f>
        <v/>
      </c>
      <c r="F638" s="36">
        <f>IF(B638="","",B638-Settings!$B$4)</f>
        <v/>
      </c>
    </row>
    <row r="639">
      <c r="A639" s="35" t="n"/>
      <c r="B639" s="30" t="n"/>
      <c r="C639" s="36">
        <f>IF(OR(B639="",B638=""),"",B639-B638)</f>
        <v/>
      </c>
      <c r="D639" s="21">
        <f>IF(B639="","",B639/Settings!$B$3^2)</f>
        <v/>
      </c>
      <c r="E639" s="21">
        <f>IF(B639="","",AVERAGE(B633:B639))</f>
        <v/>
      </c>
      <c r="F639" s="36">
        <f>IF(B639="","",B639-Settings!$B$4)</f>
        <v/>
      </c>
    </row>
    <row r="640">
      <c r="A640" s="35" t="n"/>
      <c r="B640" s="30" t="n"/>
      <c r="C640" s="36">
        <f>IF(OR(B640="",B639=""),"",B640-B639)</f>
        <v/>
      </c>
      <c r="D640" s="21">
        <f>IF(B640="","",B640/Settings!$B$3^2)</f>
        <v/>
      </c>
      <c r="E640" s="21">
        <f>IF(B640="","",AVERAGE(B634:B640))</f>
        <v/>
      </c>
      <c r="F640" s="36">
        <f>IF(B640="","",B640-Settings!$B$4)</f>
        <v/>
      </c>
    </row>
    <row r="641">
      <c r="A641" s="35" t="n"/>
      <c r="B641" s="30" t="n"/>
      <c r="C641" s="36">
        <f>IF(OR(B641="",B640=""),"",B641-B640)</f>
        <v/>
      </c>
      <c r="D641" s="21">
        <f>IF(B641="","",B641/Settings!$B$3^2)</f>
        <v/>
      </c>
      <c r="E641" s="21">
        <f>IF(B641="","",AVERAGE(B635:B641))</f>
        <v/>
      </c>
      <c r="F641" s="36">
        <f>IF(B641="","",B641-Settings!$B$4)</f>
        <v/>
      </c>
    </row>
    <row r="642">
      <c r="A642" s="35" t="n"/>
      <c r="B642" s="30" t="n"/>
      <c r="C642" s="36">
        <f>IF(OR(B642="",B641=""),"",B642-B641)</f>
        <v/>
      </c>
      <c r="D642" s="21">
        <f>IF(B642="","",B642/Settings!$B$3^2)</f>
        <v/>
      </c>
      <c r="E642" s="21">
        <f>IF(B642="","",AVERAGE(B636:B642))</f>
        <v/>
      </c>
      <c r="F642" s="36">
        <f>IF(B642="","",B642-Settings!$B$4)</f>
        <v/>
      </c>
    </row>
    <row r="643">
      <c r="A643" s="35" t="n"/>
      <c r="B643" s="30" t="n"/>
      <c r="C643" s="36">
        <f>IF(OR(B643="",B642=""),"",B643-B642)</f>
        <v/>
      </c>
      <c r="D643" s="21">
        <f>IF(B643="","",B643/Settings!$B$3^2)</f>
        <v/>
      </c>
      <c r="E643" s="21">
        <f>IF(B643="","",AVERAGE(B637:B643))</f>
        <v/>
      </c>
      <c r="F643" s="36">
        <f>IF(B643="","",B643-Settings!$B$4)</f>
        <v/>
      </c>
    </row>
    <row r="644">
      <c r="A644" s="35" t="n"/>
      <c r="B644" s="30" t="n"/>
      <c r="C644" s="36">
        <f>IF(OR(B644="",B643=""),"",B644-B643)</f>
        <v/>
      </c>
      <c r="D644" s="21">
        <f>IF(B644="","",B644/Settings!$B$3^2)</f>
        <v/>
      </c>
      <c r="E644" s="21">
        <f>IF(B644="","",AVERAGE(B638:B644))</f>
        <v/>
      </c>
      <c r="F644" s="36">
        <f>IF(B644="","",B644-Settings!$B$4)</f>
        <v/>
      </c>
    </row>
    <row r="645">
      <c r="A645" s="35" t="n"/>
      <c r="B645" s="30" t="n"/>
      <c r="C645" s="36">
        <f>IF(OR(B645="",B644=""),"",B645-B644)</f>
        <v/>
      </c>
      <c r="D645" s="21">
        <f>IF(B645="","",B645/Settings!$B$3^2)</f>
        <v/>
      </c>
      <c r="E645" s="21">
        <f>IF(B645="","",AVERAGE(B639:B645))</f>
        <v/>
      </c>
      <c r="F645" s="36">
        <f>IF(B645="","",B645-Settings!$B$4)</f>
        <v/>
      </c>
    </row>
    <row r="646">
      <c r="A646" s="35" t="n"/>
      <c r="B646" s="30" t="n"/>
      <c r="C646" s="36">
        <f>IF(OR(B646="",B645=""),"",B646-B645)</f>
        <v/>
      </c>
      <c r="D646" s="21">
        <f>IF(B646="","",B646/Settings!$B$3^2)</f>
        <v/>
      </c>
      <c r="E646" s="21">
        <f>IF(B646="","",AVERAGE(B640:B646))</f>
        <v/>
      </c>
      <c r="F646" s="36">
        <f>IF(B646="","",B646-Settings!$B$4)</f>
        <v/>
      </c>
    </row>
    <row r="647">
      <c r="A647" s="35" t="n"/>
      <c r="B647" s="30" t="n"/>
      <c r="C647" s="36">
        <f>IF(OR(B647="",B646=""),"",B647-B646)</f>
        <v/>
      </c>
      <c r="D647" s="21">
        <f>IF(B647="","",B647/Settings!$B$3^2)</f>
        <v/>
      </c>
      <c r="E647" s="21">
        <f>IF(B647="","",AVERAGE(B641:B647))</f>
        <v/>
      </c>
      <c r="F647" s="36">
        <f>IF(B647="","",B647-Settings!$B$4)</f>
        <v/>
      </c>
    </row>
    <row r="648">
      <c r="A648" s="35" t="n"/>
      <c r="B648" s="30" t="n"/>
      <c r="C648" s="36">
        <f>IF(OR(B648="",B647=""),"",B648-B647)</f>
        <v/>
      </c>
      <c r="D648" s="21">
        <f>IF(B648="","",B648/Settings!$B$3^2)</f>
        <v/>
      </c>
      <c r="E648" s="21">
        <f>IF(B648="","",AVERAGE(B642:B648))</f>
        <v/>
      </c>
      <c r="F648" s="36">
        <f>IF(B648="","",B648-Settings!$B$4)</f>
        <v/>
      </c>
    </row>
    <row r="649">
      <c r="A649" s="35" t="n"/>
      <c r="B649" s="30" t="n"/>
      <c r="C649" s="36">
        <f>IF(OR(B649="",B648=""),"",B649-B648)</f>
        <v/>
      </c>
      <c r="D649" s="21">
        <f>IF(B649="","",B649/Settings!$B$3^2)</f>
        <v/>
      </c>
      <c r="E649" s="21">
        <f>IF(B649="","",AVERAGE(B643:B649))</f>
        <v/>
      </c>
      <c r="F649" s="36">
        <f>IF(B649="","",B649-Settings!$B$4)</f>
        <v/>
      </c>
    </row>
    <row r="650">
      <c r="A650" s="35" t="n"/>
      <c r="B650" s="30" t="n"/>
      <c r="C650" s="36">
        <f>IF(OR(B650="",B649=""),"",B650-B649)</f>
        <v/>
      </c>
      <c r="D650" s="21">
        <f>IF(B650="","",B650/Settings!$B$3^2)</f>
        <v/>
      </c>
      <c r="E650" s="21">
        <f>IF(B650="","",AVERAGE(B644:B650))</f>
        <v/>
      </c>
      <c r="F650" s="36">
        <f>IF(B650="","",B650-Settings!$B$4)</f>
        <v/>
      </c>
    </row>
    <row r="651">
      <c r="A651" s="35" t="n"/>
      <c r="B651" s="30" t="n"/>
      <c r="C651" s="36">
        <f>IF(OR(B651="",B650=""),"",B651-B650)</f>
        <v/>
      </c>
      <c r="D651" s="21">
        <f>IF(B651="","",B651/Settings!$B$3^2)</f>
        <v/>
      </c>
      <c r="E651" s="21">
        <f>IF(B651="","",AVERAGE(B645:B651))</f>
        <v/>
      </c>
      <c r="F651" s="36">
        <f>IF(B651="","",B651-Settings!$B$4)</f>
        <v/>
      </c>
    </row>
    <row r="652">
      <c r="A652" s="35" t="n"/>
      <c r="B652" s="30" t="n"/>
      <c r="C652" s="36">
        <f>IF(OR(B652="",B651=""),"",B652-B651)</f>
        <v/>
      </c>
      <c r="D652" s="21">
        <f>IF(B652="","",B652/Settings!$B$3^2)</f>
        <v/>
      </c>
      <c r="E652" s="21">
        <f>IF(B652="","",AVERAGE(B646:B652))</f>
        <v/>
      </c>
      <c r="F652" s="36">
        <f>IF(B652="","",B652-Settings!$B$4)</f>
        <v/>
      </c>
    </row>
    <row r="653">
      <c r="A653" s="35" t="n"/>
      <c r="B653" s="30" t="n"/>
      <c r="C653" s="36">
        <f>IF(OR(B653="",B652=""),"",B653-B652)</f>
        <v/>
      </c>
      <c r="D653" s="21">
        <f>IF(B653="","",B653/Settings!$B$3^2)</f>
        <v/>
      </c>
      <c r="E653" s="21">
        <f>IF(B653="","",AVERAGE(B647:B653))</f>
        <v/>
      </c>
      <c r="F653" s="36">
        <f>IF(B653="","",B653-Settings!$B$4)</f>
        <v/>
      </c>
    </row>
    <row r="654">
      <c r="A654" s="35" t="n"/>
      <c r="B654" s="30" t="n"/>
      <c r="C654" s="36">
        <f>IF(OR(B654="",B653=""),"",B654-B653)</f>
        <v/>
      </c>
      <c r="D654" s="21">
        <f>IF(B654="","",B654/Settings!$B$3^2)</f>
        <v/>
      </c>
      <c r="E654" s="21">
        <f>IF(B654="","",AVERAGE(B648:B654))</f>
        <v/>
      </c>
      <c r="F654" s="36">
        <f>IF(B654="","",B654-Settings!$B$4)</f>
        <v/>
      </c>
    </row>
    <row r="655">
      <c r="A655" s="35" t="n"/>
      <c r="B655" s="30" t="n"/>
      <c r="C655" s="36">
        <f>IF(OR(B655="",B654=""),"",B655-B654)</f>
        <v/>
      </c>
      <c r="D655" s="21">
        <f>IF(B655="","",B655/Settings!$B$3^2)</f>
        <v/>
      </c>
      <c r="E655" s="21">
        <f>IF(B655="","",AVERAGE(B649:B655))</f>
        <v/>
      </c>
      <c r="F655" s="36">
        <f>IF(B655="","",B655-Settings!$B$4)</f>
        <v/>
      </c>
    </row>
    <row r="656">
      <c r="A656" s="35" t="n"/>
      <c r="B656" s="30" t="n"/>
      <c r="C656" s="36">
        <f>IF(OR(B656="",B655=""),"",B656-B655)</f>
        <v/>
      </c>
      <c r="D656" s="21">
        <f>IF(B656="","",B656/Settings!$B$3^2)</f>
        <v/>
      </c>
      <c r="E656" s="21">
        <f>IF(B656="","",AVERAGE(B650:B656))</f>
        <v/>
      </c>
      <c r="F656" s="36">
        <f>IF(B656="","",B656-Settings!$B$4)</f>
        <v/>
      </c>
    </row>
    <row r="657">
      <c r="A657" s="35" t="n"/>
      <c r="B657" s="30" t="n"/>
      <c r="C657" s="36">
        <f>IF(OR(B657="",B656=""),"",B657-B656)</f>
        <v/>
      </c>
      <c r="D657" s="21">
        <f>IF(B657="","",B657/Settings!$B$3^2)</f>
        <v/>
      </c>
      <c r="E657" s="21">
        <f>IF(B657="","",AVERAGE(B651:B657))</f>
        <v/>
      </c>
      <c r="F657" s="36">
        <f>IF(B657="","",B657-Settings!$B$4)</f>
        <v/>
      </c>
    </row>
    <row r="658">
      <c r="A658" s="35" t="n"/>
      <c r="B658" s="30" t="n"/>
      <c r="C658" s="36">
        <f>IF(OR(B658="",B657=""),"",B658-B657)</f>
        <v/>
      </c>
      <c r="D658" s="21">
        <f>IF(B658="","",B658/Settings!$B$3^2)</f>
        <v/>
      </c>
      <c r="E658" s="21">
        <f>IF(B658="","",AVERAGE(B652:B658))</f>
        <v/>
      </c>
      <c r="F658" s="36">
        <f>IF(B658="","",B658-Settings!$B$4)</f>
        <v/>
      </c>
    </row>
    <row r="659">
      <c r="A659" s="35" t="n"/>
      <c r="B659" s="30" t="n"/>
      <c r="C659" s="36">
        <f>IF(OR(B659="",B658=""),"",B659-B658)</f>
        <v/>
      </c>
      <c r="D659" s="21">
        <f>IF(B659="","",B659/Settings!$B$3^2)</f>
        <v/>
      </c>
      <c r="E659" s="21">
        <f>IF(B659="","",AVERAGE(B653:B659))</f>
        <v/>
      </c>
      <c r="F659" s="36">
        <f>IF(B659="","",B659-Settings!$B$4)</f>
        <v/>
      </c>
    </row>
    <row r="660">
      <c r="A660" s="35" t="n"/>
      <c r="B660" s="30" t="n"/>
      <c r="C660" s="36">
        <f>IF(OR(B660="",B659=""),"",B660-B659)</f>
        <v/>
      </c>
      <c r="D660" s="21">
        <f>IF(B660="","",B660/Settings!$B$3^2)</f>
        <v/>
      </c>
      <c r="E660" s="21">
        <f>IF(B660="","",AVERAGE(B654:B660))</f>
        <v/>
      </c>
      <c r="F660" s="36">
        <f>IF(B660="","",B660-Settings!$B$4)</f>
        <v/>
      </c>
    </row>
    <row r="661">
      <c r="A661" s="35" t="n"/>
      <c r="B661" s="30" t="n"/>
      <c r="C661" s="36">
        <f>IF(OR(B661="",B660=""),"",B661-B660)</f>
        <v/>
      </c>
      <c r="D661" s="21">
        <f>IF(B661="","",B661/Settings!$B$3^2)</f>
        <v/>
      </c>
      <c r="E661" s="21">
        <f>IF(B661="","",AVERAGE(B655:B661))</f>
        <v/>
      </c>
      <c r="F661" s="36">
        <f>IF(B661="","",B661-Settings!$B$4)</f>
        <v/>
      </c>
    </row>
    <row r="662">
      <c r="A662" s="35" t="n"/>
      <c r="B662" s="30" t="n"/>
      <c r="C662" s="36">
        <f>IF(OR(B662="",B661=""),"",B662-B661)</f>
        <v/>
      </c>
      <c r="D662" s="21">
        <f>IF(B662="","",B662/Settings!$B$3^2)</f>
        <v/>
      </c>
      <c r="E662" s="21">
        <f>IF(B662="","",AVERAGE(B656:B662))</f>
        <v/>
      </c>
      <c r="F662" s="36">
        <f>IF(B662="","",B662-Settings!$B$4)</f>
        <v/>
      </c>
    </row>
    <row r="663">
      <c r="A663" s="35" t="n"/>
      <c r="B663" s="30" t="n"/>
      <c r="C663" s="36">
        <f>IF(OR(B663="",B662=""),"",B663-B662)</f>
        <v/>
      </c>
      <c r="D663" s="21">
        <f>IF(B663="","",B663/Settings!$B$3^2)</f>
        <v/>
      </c>
      <c r="E663" s="21">
        <f>IF(B663="","",AVERAGE(B657:B663))</f>
        <v/>
      </c>
      <c r="F663" s="36">
        <f>IF(B663="","",B663-Settings!$B$4)</f>
        <v/>
      </c>
    </row>
    <row r="664">
      <c r="A664" s="35" t="n"/>
      <c r="B664" s="30" t="n"/>
      <c r="C664" s="36">
        <f>IF(OR(B664="",B663=""),"",B664-B663)</f>
        <v/>
      </c>
      <c r="D664" s="21">
        <f>IF(B664="","",B664/Settings!$B$3^2)</f>
        <v/>
      </c>
      <c r="E664" s="21">
        <f>IF(B664="","",AVERAGE(B658:B664))</f>
        <v/>
      </c>
      <c r="F664" s="36">
        <f>IF(B664="","",B664-Settings!$B$4)</f>
        <v/>
      </c>
    </row>
    <row r="665">
      <c r="A665" s="35" t="n"/>
      <c r="B665" s="30" t="n"/>
      <c r="C665" s="36">
        <f>IF(OR(B665="",B664=""),"",B665-B664)</f>
        <v/>
      </c>
      <c r="D665" s="21">
        <f>IF(B665="","",B665/Settings!$B$3^2)</f>
        <v/>
      </c>
      <c r="E665" s="21">
        <f>IF(B665="","",AVERAGE(B659:B665))</f>
        <v/>
      </c>
      <c r="F665" s="36">
        <f>IF(B665="","",B665-Settings!$B$4)</f>
        <v/>
      </c>
    </row>
    <row r="666">
      <c r="A666" s="35" t="n"/>
      <c r="B666" s="30" t="n"/>
      <c r="C666" s="36">
        <f>IF(OR(B666="",B665=""),"",B666-B665)</f>
        <v/>
      </c>
      <c r="D666" s="21">
        <f>IF(B666="","",B666/Settings!$B$3^2)</f>
        <v/>
      </c>
      <c r="E666" s="21">
        <f>IF(B666="","",AVERAGE(B660:B666))</f>
        <v/>
      </c>
      <c r="F666" s="36">
        <f>IF(B666="","",B666-Settings!$B$4)</f>
        <v/>
      </c>
    </row>
    <row r="667">
      <c r="A667" s="35" t="n"/>
      <c r="B667" s="30" t="n"/>
      <c r="C667" s="36">
        <f>IF(OR(B667="",B666=""),"",B667-B666)</f>
        <v/>
      </c>
      <c r="D667" s="21">
        <f>IF(B667="","",B667/Settings!$B$3^2)</f>
        <v/>
      </c>
      <c r="E667" s="21">
        <f>IF(B667="","",AVERAGE(B661:B667))</f>
        <v/>
      </c>
      <c r="F667" s="36">
        <f>IF(B667="","",B667-Settings!$B$4)</f>
        <v/>
      </c>
    </row>
    <row r="668">
      <c r="A668" s="35" t="n"/>
      <c r="B668" s="30" t="n"/>
      <c r="C668" s="36">
        <f>IF(OR(B668="",B667=""),"",B668-B667)</f>
        <v/>
      </c>
      <c r="D668" s="21">
        <f>IF(B668="","",B668/Settings!$B$3^2)</f>
        <v/>
      </c>
      <c r="E668" s="21">
        <f>IF(B668="","",AVERAGE(B662:B668))</f>
        <v/>
      </c>
      <c r="F668" s="36">
        <f>IF(B668="","",B668-Settings!$B$4)</f>
        <v/>
      </c>
    </row>
    <row r="669">
      <c r="A669" s="35" t="n"/>
      <c r="B669" s="30" t="n"/>
      <c r="C669" s="36">
        <f>IF(OR(B669="",B668=""),"",B669-B668)</f>
        <v/>
      </c>
      <c r="D669" s="21">
        <f>IF(B669="","",B669/Settings!$B$3^2)</f>
        <v/>
      </c>
      <c r="E669" s="21">
        <f>IF(B669="","",AVERAGE(B663:B669))</f>
        <v/>
      </c>
      <c r="F669" s="36">
        <f>IF(B669="","",B669-Settings!$B$4)</f>
        <v/>
      </c>
    </row>
    <row r="670">
      <c r="A670" s="35" t="n"/>
      <c r="B670" s="30" t="n"/>
      <c r="C670" s="36">
        <f>IF(OR(B670="",B669=""),"",B670-B669)</f>
        <v/>
      </c>
      <c r="D670" s="21">
        <f>IF(B670="","",B670/Settings!$B$3^2)</f>
        <v/>
      </c>
      <c r="E670" s="21">
        <f>IF(B670="","",AVERAGE(B664:B670))</f>
        <v/>
      </c>
      <c r="F670" s="36">
        <f>IF(B670="","",B670-Settings!$B$4)</f>
        <v/>
      </c>
    </row>
    <row r="671">
      <c r="A671" s="35" t="n"/>
      <c r="B671" s="30" t="n"/>
      <c r="C671" s="36">
        <f>IF(OR(B671="",B670=""),"",B671-B670)</f>
        <v/>
      </c>
      <c r="D671" s="21">
        <f>IF(B671="","",B671/Settings!$B$3^2)</f>
        <v/>
      </c>
      <c r="E671" s="21">
        <f>IF(B671="","",AVERAGE(B665:B671))</f>
        <v/>
      </c>
      <c r="F671" s="36">
        <f>IF(B671="","",B671-Settings!$B$4)</f>
        <v/>
      </c>
    </row>
    <row r="672">
      <c r="A672" s="35" t="n"/>
      <c r="B672" s="30" t="n"/>
      <c r="C672" s="36">
        <f>IF(OR(B672="",B671=""),"",B672-B671)</f>
        <v/>
      </c>
      <c r="D672" s="21">
        <f>IF(B672="","",B672/Settings!$B$3^2)</f>
        <v/>
      </c>
      <c r="E672" s="21">
        <f>IF(B672="","",AVERAGE(B666:B672))</f>
        <v/>
      </c>
      <c r="F672" s="36">
        <f>IF(B672="","",B672-Settings!$B$4)</f>
        <v/>
      </c>
    </row>
    <row r="673">
      <c r="A673" s="35" t="n"/>
      <c r="B673" s="30" t="n"/>
      <c r="C673" s="36">
        <f>IF(OR(B673="",B672=""),"",B673-B672)</f>
        <v/>
      </c>
      <c r="D673" s="21">
        <f>IF(B673="","",B673/Settings!$B$3^2)</f>
        <v/>
      </c>
      <c r="E673" s="21">
        <f>IF(B673="","",AVERAGE(B667:B673))</f>
        <v/>
      </c>
      <c r="F673" s="36">
        <f>IF(B673="","",B673-Settings!$B$4)</f>
        <v/>
      </c>
    </row>
    <row r="674">
      <c r="A674" s="35" t="n"/>
      <c r="B674" s="30" t="n"/>
      <c r="C674" s="36">
        <f>IF(OR(B674="",B673=""),"",B674-B673)</f>
        <v/>
      </c>
      <c r="D674" s="21">
        <f>IF(B674="","",B674/Settings!$B$3^2)</f>
        <v/>
      </c>
      <c r="E674" s="21">
        <f>IF(B674="","",AVERAGE(B668:B674))</f>
        <v/>
      </c>
      <c r="F674" s="36">
        <f>IF(B674="","",B674-Settings!$B$4)</f>
        <v/>
      </c>
    </row>
    <row r="675">
      <c r="A675" s="35" t="n"/>
      <c r="B675" s="30" t="n"/>
      <c r="C675" s="36">
        <f>IF(OR(B675="",B674=""),"",B675-B674)</f>
        <v/>
      </c>
      <c r="D675" s="21">
        <f>IF(B675="","",B675/Settings!$B$3^2)</f>
        <v/>
      </c>
      <c r="E675" s="21">
        <f>IF(B675="","",AVERAGE(B669:B675))</f>
        <v/>
      </c>
      <c r="F675" s="36">
        <f>IF(B675="","",B675-Settings!$B$4)</f>
        <v/>
      </c>
    </row>
    <row r="676">
      <c r="A676" s="35" t="n"/>
      <c r="B676" s="30" t="n"/>
      <c r="C676" s="36">
        <f>IF(OR(B676="",B675=""),"",B676-B675)</f>
        <v/>
      </c>
      <c r="D676" s="21">
        <f>IF(B676="","",B676/Settings!$B$3^2)</f>
        <v/>
      </c>
      <c r="E676" s="21">
        <f>IF(B676="","",AVERAGE(B670:B676))</f>
        <v/>
      </c>
      <c r="F676" s="36">
        <f>IF(B676="","",B676-Settings!$B$4)</f>
        <v/>
      </c>
    </row>
    <row r="677">
      <c r="A677" s="35" t="n"/>
      <c r="B677" s="30" t="n"/>
      <c r="C677" s="36">
        <f>IF(OR(B677="",B676=""),"",B677-B676)</f>
        <v/>
      </c>
      <c r="D677" s="21">
        <f>IF(B677="","",B677/Settings!$B$3^2)</f>
        <v/>
      </c>
      <c r="E677" s="21">
        <f>IF(B677="","",AVERAGE(B671:B677))</f>
        <v/>
      </c>
      <c r="F677" s="36">
        <f>IF(B677="","",B677-Settings!$B$4)</f>
        <v/>
      </c>
    </row>
    <row r="678">
      <c r="A678" s="35" t="n"/>
      <c r="B678" s="30" t="n"/>
      <c r="C678" s="36">
        <f>IF(OR(B678="",B677=""),"",B678-B677)</f>
        <v/>
      </c>
      <c r="D678" s="21">
        <f>IF(B678="","",B678/Settings!$B$3^2)</f>
        <v/>
      </c>
      <c r="E678" s="21">
        <f>IF(B678="","",AVERAGE(B672:B678))</f>
        <v/>
      </c>
      <c r="F678" s="36">
        <f>IF(B678="","",B678-Settings!$B$4)</f>
        <v/>
      </c>
    </row>
    <row r="679">
      <c r="A679" s="35" t="n"/>
      <c r="B679" s="30" t="n"/>
      <c r="C679" s="36">
        <f>IF(OR(B679="",B678=""),"",B679-B678)</f>
        <v/>
      </c>
      <c r="D679" s="21">
        <f>IF(B679="","",B679/Settings!$B$3^2)</f>
        <v/>
      </c>
      <c r="E679" s="21">
        <f>IF(B679="","",AVERAGE(B673:B679))</f>
        <v/>
      </c>
      <c r="F679" s="36">
        <f>IF(B679="","",B679-Settings!$B$4)</f>
        <v/>
      </c>
    </row>
    <row r="680">
      <c r="A680" s="35" t="n"/>
      <c r="B680" s="30" t="n"/>
      <c r="C680" s="36">
        <f>IF(OR(B680="",B679=""),"",B680-B679)</f>
        <v/>
      </c>
      <c r="D680" s="21">
        <f>IF(B680="","",B680/Settings!$B$3^2)</f>
        <v/>
      </c>
      <c r="E680" s="21">
        <f>IF(B680="","",AVERAGE(B674:B680))</f>
        <v/>
      </c>
      <c r="F680" s="36">
        <f>IF(B680="","",B680-Settings!$B$4)</f>
        <v/>
      </c>
    </row>
    <row r="681">
      <c r="A681" s="35" t="n"/>
      <c r="B681" s="30" t="n"/>
      <c r="C681" s="36">
        <f>IF(OR(B681="",B680=""),"",B681-B680)</f>
        <v/>
      </c>
      <c r="D681" s="21">
        <f>IF(B681="","",B681/Settings!$B$3^2)</f>
        <v/>
      </c>
      <c r="E681" s="21">
        <f>IF(B681="","",AVERAGE(B675:B681))</f>
        <v/>
      </c>
      <c r="F681" s="36">
        <f>IF(B681="","",B681-Settings!$B$4)</f>
        <v/>
      </c>
    </row>
    <row r="682">
      <c r="A682" s="35" t="n"/>
      <c r="B682" s="30" t="n"/>
      <c r="C682" s="36">
        <f>IF(OR(B682="",B681=""),"",B682-B681)</f>
        <v/>
      </c>
      <c r="D682" s="21">
        <f>IF(B682="","",B682/Settings!$B$3^2)</f>
        <v/>
      </c>
      <c r="E682" s="21">
        <f>IF(B682="","",AVERAGE(B676:B682))</f>
        <v/>
      </c>
      <c r="F682" s="36">
        <f>IF(B682="","",B682-Settings!$B$4)</f>
        <v/>
      </c>
    </row>
    <row r="683">
      <c r="A683" s="35" t="n"/>
      <c r="B683" s="30" t="n"/>
      <c r="C683" s="36">
        <f>IF(OR(B683="",B682=""),"",B683-B682)</f>
        <v/>
      </c>
      <c r="D683" s="21">
        <f>IF(B683="","",B683/Settings!$B$3^2)</f>
        <v/>
      </c>
      <c r="E683" s="21">
        <f>IF(B683="","",AVERAGE(B677:B683))</f>
        <v/>
      </c>
      <c r="F683" s="36">
        <f>IF(B683="","",B683-Settings!$B$4)</f>
        <v/>
      </c>
    </row>
    <row r="684">
      <c r="A684" s="35" t="n"/>
      <c r="B684" s="30" t="n"/>
      <c r="C684" s="36">
        <f>IF(OR(B684="",B683=""),"",B684-B683)</f>
        <v/>
      </c>
      <c r="D684" s="21">
        <f>IF(B684="","",B684/Settings!$B$3^2)</f>
        <v/>
      </c>
      <c r="E684" s="21">
        <f>IF(B684="","",AVERAGE(B678:B684))</f>
        <v/>
      </c>
      <c r="F684" s="36">
        <f>IF(B684="","",B684-Settings!$B$4)</f>
        <v/>
      </c>
    </row>
    <row r="685">
      <c r="A685" s="35" t="n"/>
      <c r="B685" s="30" t="n"/>
      <c r="C685" s="36">
        <f>IF(OR(B685="",B684=""),"",B685-B684)</f>
        <v/>
      </c>
      <c r="D685" s="21">
        <f>IF(B685="","",B685/Settings!$B$3^2)</f>
        <v/>
      </c>
      <c r="E685" s="21">
        <f>IF(B685="","",AVERAGE(B679:B685))</f>
        <v/>
      </c>
      <c r="F685" s="36">
        <f>IF(B685="","",B685-Settings!$B$4)</f>
        <v/>
      </c>
    </row>
    <row r="686">
      <c r="A686" s="35" t="n"/>
      <c r="B686" s="30" t="n"/>
      <c r="C686" s="36">
        <f>IF(OR(B686="",B685=""),"",B686-B685)</f>
        <v/>
      </c>
      <c r="D686" s="21">
        <f>IF(B686="","",B686/Settings!$B$3^2)</f>
        <v/>
      </c>
      <c r="E686" s="21">
        <f>IF(B686="","",AVERAGE(B680:B686))</f>
        <v/>
      </c>
      <c r="F686" s="36">
        <f>IF(B686="","",B686-Settings!$B$4)</f>
        <v/>
      </c>
    </row>
    <row r="687">
      <c r="A687" s="35" t="n"/>
      <c r="B687" s="30" t="n"/>
      <c r="C687" s="36">
        <f>IF(OR(B687="",B686=""),"",B687-B686)</f>
        <v/>
      </c>
      <c r="D687" s="21">
        <f>IF(B687="","",B687/Settings!$B$3^2)</f>
        <v/>
      </c>
      <c r="E687" s="21">
        <f>IF(B687="","",AVERAGE(B681:B687))</f>
        <v/>
      </c>
      <c r="F687" s="36">
        <f>IF(B687="","",B687-Settings!$B$4)</f>
        <v/>
      </c>
    </row>
    <row r="688">
      <c r="A688" s="35" t="n"/>
      <c r="B688" s="30" t="n"/>
      <c r="C688" s="36">
        <f>IF(OR(B688="",B687=""),"",B688-B687)</f>
        <v/>
      </c>
      <c r="D688" s="21">
        <f>IF(B688="","",B688/Settings!$B$3^2)</f>
        <v/>
      </c>
      <c r="E688" s="21">
        <f>IF(B688="","",AVERAGE(B682:B688))</f>
        <v/>
      </c>
      <c r="F688" s="36">
        <f>IF(B688="","",B688-Settings!$B$4)</f>
        <v/>
      </c>
    </row>
    <row r="689">
      <c r="A689" s="35" t="n"/>
      <c r="B689" s="30" t="n"/>
      <c r="C689" s="36">
        <f>IF(OR(B689="",B688=""),"",B689-B688)</f>
        <v/>
      </c>
      <c r="D689" s="21">
        <f>IF(B689="","",B689/Settings!$B$3^2)</f>
        <v/>
      </c>
      <c r="E689" s="21">
        <f>IF(B689="","",AVERAGE(B683:B689))</f>
        <v/>
      </c>
      <c r="F689" s="36">
        <f>IF(B689="","",B689-Settings!$B$4)</f>
        <v/>
      </c>
    </row>
    <row r="690">
      <c r="A690" s="35" t="n"/>
      <c r="B690" s="30" t="n"/>
      <c r="C690" s="36">
        <f>IF(OR(B690="",B689=""),"",B690-B689)</f>
        <v/>
      </c>
      <c r="D690" s="21">
        <f>IF(B690="","",B690/Settings!$B$3^2)</f>
        <v/>
      </c>
      <c r="E690" s="21">
        <f>IF(B690="","",AVERAGE(B684:B690))</f>
        <v/>
      </c>
      <c r="F690" s="36">
        <f>IF(B690="","",B690-Settings!$B$4)</f>
        <v/>
      </c>
    </row>
    <row r="691">
      <c r="A691" s="35" t="n"/>
      <c r="B691" s="30" t="n"/>
      <c r="C691" s="36">
        <f>IF(OR(B691="",B690=""),"",B691-B690)</f>
        <v/>
      </c>
      <c r="D691" s="21">
        <f>IF(B691="","",B691/Settings!$B$3^2)</f>
        <v/>
      </c>
      <c r="E691" s="21">
        <f>IF(B691="","",AVERAGE(B685:B691))</f>
        <v/>
      </c>
      <c r="F691" s="36">
        <f>IF(B691="","",B691-Settings!$B$4)</f>
        <v/>
      </c>
    </row>
    <row r="692">
      <c r="A692" s="35" t="n"/>
      <c r="B692" s="30" t="n"/>
      <c r="C692" s="36">
        <f>IF(OR(B692="",B691=""),"",B692-B691)</f>
        <v/>
      </c>
      <c r="D692" s="21">
        <f>IF(B692="","",B692/Settings!$B$3^2)</f>
        <v/>
      </c>
      <c r="E692" s="21">
        <f>IF(B692="","",AVERAGE(B686:B692))</f>
        <v/>
      </c>
      <c r="F692" s="36">
        <f>IF(B692="","",B692-Settings!$B$4)</f>
        <v/>
      </c>
    </row>
    <row r="693">
      <c r="A693" s="35" t="n"/>
      <c r="B693" s="30" t="n"/>
      <c r="C693" s="36">
        <f>IF(OR(B693="",B692=""),"",B693-B692)</f>
        <v/>
      </c>
      <c r="D693" s="21">
        <f>IF(B693="","",B693/Settings!$B$3^2)</f>
        <v/>
      </c>
      <c r="E693" s="21">
        <f>IF(B693="","",AVERAGE(B687:B693))</f>
        <v/>
      </c>
      <c r="F693" s="36">
        <f>IF(B693="","",B693-Settings!$B$4)</f>
        <v/>
      </c>
    </row>
    <row r="694">
      <c r="A694" s="35" t="n"/>
      <c r="B694" s="30" t="n"/>
      <c r="C694" s="36">
        <f>IF(OR(B694="",B693=""),"",B694-B693)</f>
        <v/>
      </c>
      <c r="D694" s="21">
        <f>IF(B694="","",B694/Settings!$B$3^2)</f>
        <v/>
      </c>
      <c r="E694" s="21">
        <f>IF(B694="","",AVERAGE(B688:B694))</f>
        <v/>
      </c>
      <c r="F694" s="36">
        <f>IF(B694="","",B694-Settings!$B$4)</f>
        <v/>
      </c>
    </row>
    <row r="695">
      <c r="A695" s="35" t="n"/>
      <c r="B695" s="30" t="n"/>
      <c r="C695" s="36">
        <f>IF(OR(B695="",B694=""),"",B695-B694)</f>
        <v/>
      </c>
      <c r="D695" s="21">
        <f>IF(B695="","",B695/Settings!$B$3^2)</f>
        <v/>
      </c>
      <c r="E695" s="21">
        <f>IF(B695="","",AVERAGE(B689:B695))</f>
        <v/>
      </c>
      <c r="F695" s="36">
        <f>IF(B695="","",B695-Settings!$B$4)</f>
        <v/>
      </c>
    </row>
    <row r="696">
      <c r="A696" s="35" t="n"/>
      <c r="B696" s="30" t="n"/>
      <c r="C696" s="36">
        <f>IF(OR(B696="",B695=""),"",B696-B695)</f>
        <v/>
      </c>
      <c r="D696" s="21">
        <f>IF(B696="","",B696/Settings!$B$3^2)</f>
        <v/>
      </c>
      <c r="E696" s="21">
        <f>IF(B696="","",AVERAGE(B690:B696))</f>
        <v/>
      </c>
      <c r="F696" s="36">
        <f>IF(B696="","",B696-Settings!$B$4)</f>
        <v/>
      </c>
    </row>
    <row r="697">
      <c r="A697" s="35" t="n"/>
      <c r="B697" s="30" t="n"/>
      <c r="C697" s="36">
        <f>IF(OR(B697="",B696=""),"",B697-B696)</f>
        <v/>
      </c>
      <c r="D697" s="21">
        <f>IF(B697="","",B697/Settings!$B$3^2)</f>
        <v/>
      </c>
      <c r="E697" s="21">
        <f>IF(B697="","",AVERAGE(B691:B697))</f>
        <v/>
      </c>
      <c r="F697" s="36">
        <f>IF(B697="","",B697-Settings!$B$4)</f>
        <v/>
      </c>
    </row>
    <row r="698">
      <c r="A698" s="35" t="n"/>
      <c r="B698" s="30" t="n"/>
      <c r="C698" s="36">
        <f>IF(OR(B698="",B697=""),"",B698-B697)</f>
        <v/>
      </c>
      <c r="D698" s="21">
        <f>IF(B698="","",B698/Settings!$B$3^2)</f>
        <v/>
      </c>
      <c r="E698" s="21">
        <f>IF(B698="","",AVERAGE(B692:B698))</f>
        <v/>
      </c>
      <c r="F698" s="36">
        <f>IF(B698="","",B698-Settings!$B$4)</f>
        <v/>
      </c>
    </row>
    <row r="699">
      <c r="A699" s="35" t="n"/>
      <c r="B699" s="30" t="n"/>
      <c r="C699" s="36">
        <f>IF(OR(B699="",B698=""),"",B699-B698)</f>
        <v/>
      </c>
      <c r="D699" s="21">
        <f>IF(B699="","",B699/Settings!$B$3^2)</f>
        <v/>
      </c>
      <c r="E699" s="21">
        <f>IF(B699="","",AVERAGE(B693:B699))</f>
        <v/>
      </c>
      <c r="F699" s="36">
        <f>IF(B699="","",B699-Settings!$B$4)</f>
        <v/>
      </c>
    </row>
    <row r="700">
      <c r="A700" s="35" t="n"/>
      <c r="B700" s="30" t="n"/>
      <c r="C700" s="36">
        <f>IF(OR(B700="",B699=""),"",B700-B699)</f>
        <v/>
      </c>
      <c r="D700" s="21">
        <f>IF(B700="","",B700/Settings!$B$3^2)</f>
        <v/>
      </c>
      <c r="E700" s="21">
        <f>IF(B700="","",AVERAGE(B694:B700))</f>
        <v/>
      </c>
      <c r="F700" s="36">
        <f>IF(B700="","",B700-Settings!$B$4)</f>
        <v/>
      </c>
    </row>
    <row r="701">
      <c r="A701" s="35" t="n"/>
      <c r="B701" s="30" t="n"/>
      <c r="C701" s="36">
        <f>IF(OR(B701="",B700=""),"",B701-B700)</f>
        <v/>
      </c>
      <c r="D701" s="21">
        <f>IF(B701="","",B701/Settings!$B$3^2)</f>
        <v/>
      </c>
      <c r="E701" s="21">
        <f>IF(B701="","",AVERAGE(B695:B701))</f>
        <v/>
      </c>
      <c r="F701" s="36">
        <f>IF(B701="","",B701-Settings!$B$4)</f>
        <v/>
      </c>
    </row>
    <row r="702">
      <c r="A702" s="35" t="n"/>
      <c r="B702" s="30" t="n"/>
      <c r="C702" s="36">
        <f>IF(OR(B702="",B701=""),"",B702-B701)</f>
        <v/>
      </c>
      <c r="D702" s="21">
        <f>IF(B702="","",B702/Settings!$B$3^2)</f>
        <v/>
      </c>
      <c r="E702" s="21">
        <f>IF(B702="","",AVERAGE(B696:B702))</f>
        <v/>
      </c>
      <c r="F702" s="36">
        <f>IF(B702="","",B702-Settings!$B$4)</f>
        <v/>
      </c>
    </row>
    <row r="703">
      <c r="A703" s="35" t="n"/>
      <c r="B703" s="30" t="n"/>
      <c r="C703" s="36">
        <f>IF(OR(B703="",B702=""),"",B703-B702)</f>
        <v/>
      </c>
      <c r="D703" s="21">
        <f>IF(B703="","",B703/Settings!$B$3^2)</f>
        <v/>
      </c>
      <c r="E703" s="21">
        <f>IF(B703="","",AVERAGE(B697:B703))</f>
        <v/>
      </c>
      <c r="F703" s="36">
        <f>IF(B703="","",B703-Settings!$B$4)</f>
        <v/>
      </c>
    </row>
    <row r="704">
      <c r="A704" s="35" t="n"/>
      <c r="B704" s="30" t="n"/>
      <c r="C704" s="36">
        <f>IF(OR(B704="",B703=""),"",B704-B703)</f>
        <v/>
      </c>
      <c r="D704" s="21">
        <f>IF(B704="","",B704/Settings!$B$3^2)</f>
        <v/>
      </c>
      <c r="E704" s="21">
        <f>IF(B704="","",AVERAGE(B698:B704))</f>
        <v/>
      </c>
      <c r="F704" s="36">
        <f>IF(B704="","",B704-Settings!$B$4)</f>
        <v/>
      </c>
    </row>
    <row r="705">
      <c r="A705" s="35" t="n"/>
      <c r="B705" s="30" t="n"/>
      <c r="C705" s="36">
        <f>IF(OR(B705="",B704=""),"",B705-B704)</f>
        <v/>
      </c>
      <c r="D705" s="21">
        <f>IF(B705="","",B705/Settings!$B$3^2)</f>
        <v/>
      </c>
      <c r="E705" s="21">
        <f>IF(B705="","",AVERAGE(B699:B705))</f>
        <v/>
      </c>
      <c r="F705" s="36">
        <f>IF(B705="","",B705-Settings!$B$4)</f>
        <v/>
      </c>
    </row>
    <row r="706">
      <c r="A706" s="35" t="n"/>
      <c r="B706" s="30" t="n"/>
      <c r="C706" s="36">
        <f>IF(OR(B706="",B705=""),"",B706-B705)</f>
        <v/>
      </c>
      <c r="D706" s="21">
        <f>IF(B706="","",B706/Settings!$B$3^2)</f>
        <v/>
      </c>
      <c r="E706" s="21">
        <f>IF(B706="","",AVERAGE(B700:B706))</f>
        <v/>
      </c>
      <c r="F706" s="36">
        <f>IF(B706="","",B706-Settings!$B$4)</f>
        <v/>
      </c>
    </row>
    <row r="707">
      <c r="A707" s="35" t="n"/>
      <c r="B707" s="30" t="n"/>
      <c r="C707" s="36">
        <f>IF(OR(B707="",B706=""),"",B707-B706)</f>
        <v/>
      </c>
      <c r="D707" s="21">
        <f>IF(B707="","",B707/Settings!$B$3^2)</f>
        <v/>
      </c>
      <c r="E707" s="21">
        <f>IF(B707="","",AVERAGE(B701:B707))</f>
        <v/>
      </c>
      <c r="F707" s="36">
        <f>IF(B707="","",B707-Settings!$B$4)</f>
        <v/>
      </c>
    </row>
    <row r="708">
      <c r="A708" s="35" t="n"/>
      <c r="B708" s="30" t="n"/>
      <c r="C708" s="36">
        <f>IF(OR(B708="",B707=""),"",B708-B707)</f>
        <v/>
      </c>
      <c r="D708" s="21">
        <f>IF(B708="","",B708/Settings!$B$3^2)</f>
        <v/>
      </c>
      <c r="E708" s="21">
        <f>IF(B708="","",AVERAGE(B702:B708))</f>
        <v/>
      </c>
      <c r="F708" s="36">
        <f>IF(B708="","",B708-Settings!$B$4)</f>
        <v/>
      </c>
    </row>
    <row r="709">
      <c r="A709" s="35" t="n"/>
      <c r="B709" s="30" t="n"/>
      <c r="C709" s="36">
        <f>IF(OR(B709="",B708=""),"",B709-B708)</f>
        <v/>
      </c>
      <c r="D709" s="21">
        <f>IF(B709="","",B709/Settings!$B$3^2)</f>
        <v/>
      </c>
      <c r="E709" s="21">
        <f>IF(B709="","",AVERAGE(B703:B709))</f>
        <v/>
      </c>
      <c r="F709" s="36">
        <f>IF(B709="","",B709-Settings!$B$4)</f>
        <v/>
      </c>
    </row>
    <row r="710">
      <c r="A710" s="35" t="n"/>
      <c r="B710" s="30" t="n"/>
      <c r="C710" s="36">
        <f>IF(OR(B710="",B709=""),"",B710-B709)</f>
        <v/>
      </c>
      <c r="D710" s="21">
        <f>IF(B710="","",B710/Settings!$B$3^2)</f>
        <v/>
      </c>
      <c r="E710" s="21">
        <f>IF(B710="","",AVERAGE(B704:B710))</f>
        <v/>
      </c>
      <c r="F710" s="36">
        <f>IF(B710="","",B710-Settings!$B$4)</f>
        <v/>
      </c>
    </row>
    <row r="711">
      <c r="A711" s="35" t="n"/>
      <c r="B711" s="30" t="n"/>
      <c r="C711" s="36">
        <f>IF(OR(B711="",B710=""),"",B711-B710)</f>
        <v/>
      </c>
      <c r="D711" s="21">
        <f>IF(B711="","",B711/Settings!$B$3^2)</f>
        <v/>
      </c>
      <c r="E711" s="21">
        <f>IF(B711="","",AVERAGE(B705:B711))</f>
        <v/>
      </c>
      <c r="F711" s="36">
        <f>IF(B711="","",B711-Settings!$B$4)</f>
        <v/>
      </c>
    </row>
    <row r="712">
      <c r="A712" s="35" t="n"/>
      <c r="B712" s="30" t="n"/>
      <c r="C712" s="36">
        <f>IF(OR(B712="",B711=""),"",B712-B711)</f>
        <v/>
      </c>
      <c r="D712" s="21">
        <f>IF(B712="","",B712/Settings!$B$3^2)</f>
        <v/>
      </c>
      <c r="E712" s="21">
        <f>IF(B712="","",AVERAGE(B706:B712))</f>
        <v/>
      </c>
      <c r="F712" s="36">
        <f>IF(B712="","",B712-Settings!$B$4)</f>
        <v/>
      </c>
    </row>
    <row r="713">
      <c r="A713" s="35" t="n"/>
      <c r="B713" s="30" t="n"/>
      <c r="C713" s="36">
        <f>IF(OR(B713="",B712=""),"",B713-B712)</f>
        <v/>
      </c>
      <c r="D713" s="21">
        <f>IF(B713="","",B713/Settings!$B$3^2)</f>
        <v/>
      </c>
      <c r="E713" s="21">
        <f>IF(B713="","",AVERAGE(B707:B713))</f>
        <v/>
      </c>
      <c r="F713" s="36">
        <f>IF(B713="","",B713-Settings!$B$4)</f>
        <v/>
      </c>
    </row>
    <row r="714">
      <c r="A714" s="35" t="n"/>
      <c r="B714" s="30" t="n"/>
      <c r="C714" s="36">
        <f>IF(OR(B714="",B713=""),"",B714-B713)</f>
        <v/>
      </c>
      <c r="D714" s="21">
        <f>IF(B714="","",B714/Settings!$B$3^2)</f>
        <v/>
      </c>
      <c r="E714" s="21">
        <f>IF(B714="","",AVERAGE(B708:B714))</f>
        <v/>
      </c>
      <c r="F714" s="36">
        <f>IF(B714="","",B714-Settings!$B$4)</f>
        <v/>
      </c>
    </row>
    <row r="715">
      <c r="A715" s="35" t="n"/>
      <c r="B715" s="30" t="n"/>
      <c r="C715" s="36">
        <f>IF(OR(B715="",B714=""),"",B715-B714)</f>
        <v/>
      </c>
      <c r="D715" s="21">
        <f>IF(B715="","",B715/Settings!$B$3^2)</f>
        <v/>
      </c>
      <c r="E715" s="21">
        <f>IF(B715="","",AVERAGE(B709:B715))</f>
        <v/>
      </c>
      <c r="F715" s="36">
        <f>IF(B715="","",B715-Settings!$B$4)</f>
        <v/>
      </c>
    </row>
    <row r="716">
      <c r="A716" s="35" t="n"/>
      <c r="B716" s="30" t="n"/>
      <c r="C716" s="36">
        <f>IF(OR(B716="",B715=""),"",B716-B715)</f>
        <v/>
      </c>
      <c r="D716" s="21">
        <f>IF(B716="","",B716/Settings!$B$3^2)</f>
        <v/>
      </c>
      <c r="E716" s="21">
        <f>IF(B716="","",AVERAGE(B710:B716))</f>
        <v/>
      </c>
      <c r="F716" s="36">
        <f>IF(B716="","",B716-Settings!$B$4)</f>
        <v/>
      </c>
    </row>
    <row r="717">
      <c r="A717" s="35" t="n"/>
      <c r="B717" s="30" t="n"/>
      <c r="C717" s="36">
        <f>IF(OR(B717="",B716=""),"",B717-B716)</f>
        <v/>
      </c>
      <c r="D717" s="21">
        <f>IF(B717="","",B717/Settings!$B$3^2)</f>
        <v/>
      </c>
      <c r="E717" s="21">
        <f>IF(B717="","",AVERAGE(B711:B717))</f>
        <v/>
      </c>
      <c r="F717" s="36">
        <f>IF(B717="","",B717-Settings!$B$4)</f>
        <v/>
      </c>
    </row>
    <row r="718">
      <c r="A718" s="35" t="n"/>
      <c r="B718" s="30" t="n"/>
      <c r="C718" s="36">
        <f>IF(OR(B718="",B717=""),"",B718-B717)</f>
        <v/>
      </c>
      <c r="D718" s="21">
        <f>IF(B718="","",B718/Settings!$B$3^2)</f>
        <v/>
      </c>
      <c r="E718" s="21">
        <f>IF(B718="","",AVERAGE(B712:B718))</f>
        <v/>
      </c>
      <c r="F718" s="36">
        <f>IF(B718="","",B718-Settings!$B$4)</f>
        <v/>
      </c>
    </row>
    <row r="719">
      <c r="A719" s="35" t="n"/>
      <c r="B719" s="30" t="n"/>
      <c r="C719" s="36">
        <f>IF(OR(B719="",B718=""),"",B719-B718)</f>
        <v/>
      </c>
      <c r="D719" s="21">
        <f>IF(B719="","",B719/Settings!$B$3^2)</f>
        <v/>
      </c>
      <c r="E719" s="21">
        <f>IF(B719="","",AVERAGE(B713:B719))</f>
        <v/>
      </c>
      <c r="F719" s="36">
        <f>IF(B719="","",B719-Settings!$B$4)</f>
        <v/>
      </c>
    </row>
    <row r="720">
      <c r="A720" s="35" t="n"/>
      <c r="B720" s="30" t="n"/>
      <c r="C720" s="36">
        <f>IF(OR(B720="",B719=""),"",B720-B719)</f>
        <v/>
      </c>
      <c r="D720" s="21">
        <f>IF(B720="","",B720/Settings!$B$3^2)</f>
        <v/>
      </c>
      <c r="E720" s="21">
        <f>IF(B720="","",AVERAGE(B714:B720))</f>
        <v/>
      </c>
      <c r="F720" s="36">
        <f>IF(B720="","",B720-Settings!$B$4)</f>
        <v/>
      </c>
    </row>
    <row r="721">
      <c r="A721" s="35" t="n"/>
      <c r="B721" s="30" t="n"/>
      <c r="C721" s="36">
        <f>IF(OR(B721="",B720=""),"",B721-B720)</f>
        <v/>
      </c>
      <c r="D721" s="21">
        <f>IF(B721="","",B721/Settings!$B$3^2)</f>
        <v/>
      </c>
      <c r="E721" s="21">
        <f>IF(B721="","",AVERAGE(B715:B721))</f>
        <v/>
      </c>
      <c r="F721" s="36">
        <f>IF(B721="","",B721-Settings!$B$4)</f>
        <v/>
      </c>
    </row>
    <row r="722">
      <c r="A722" s="35" t="n"/>
      <c r="B722" s="30" t="n"/>
      <c r="C722" s="36">
        <f>IF(OR(B722="",B721=""),"",B722-B721)</f>
        <v/>
      </c>
      <c r="D722" s="21">
        <f>IF(B722="","",B722/Settings!$B$3^2)</f>
        <v/>
      </c>
      <c r="E722" s="21">
        <f>IF(B722="","",AVERAGE(B716:B722))</f>
        <v/>
      </c>
      <c r="F722" s="36">
        <f>IF(B722="","",B722-Settings!$B$4)</f>
        <v/>
      </c>
    </row>
    <row r="723">
      <c r="A723" s="35" t="n"/>
      <c r="B723" s="30" t="n"/>
      <c r="C723" s="36">
        <f>IF(OR(B723="",B722=""),"",B723-B722)</f>
        <v/>
      </c>
      <c r="D723" s="21">
        <f>IF(B723="","",B723/Settings!$B$3^2)</f>
        <v/>
      </c>
      <c r="E723" s="21">
        <f>IF(B723="","",AVERAGE(B717:B723))</f>
        <v/>
      </c>
      <c r="F723" s="36">
        <f>IF(B723="","",B723-Settings!$B$4)</f>
        <v/>
      </c>
    </row>
    <row r="724">
      <c r="A724" s="35" t="n"/>
      <c r="B724" s="30" t="n"/>
      <c r="C724" s="36">
        <f>IF(OR(B724="",B723=""),"",B724-B723)</f>
        <v/>
      </c>
      <c r="D724" s="21">
        <f>IF(B724="","",B724/Settings!$B$3^2)</f>
        <v/>
      </c>
      <c r="E724" s="21">
        <f>IF(B724="","",AVERAGE(B718:B724))</f>
        <v/>
      </c>
      <c r="F724" s="36">
        <f>IF(B724="","",B724-Settings!$B$4)</f>
        <v/>
      </c>
    </row>
    <row r="725">
      <c r="A725" s="35" t="n"/>
      <c r="B725" s="30" t="n"/>
      <c r="C725" s="36">
        <f>IF(OR(B725="",B724=""),"",B725-B724)</f>
        <v/>
      </c>
      <c r="D725" s="21">
        <f>IF(B725="","",B725/Settings!$B$3^2)</f>
        <v/>
      </c>
      <c r="E725" s="21">
        <f>IF(B725="","",AVERAGE(B719:B725))</f>
        <v/>
      </c>
      <c r="F725" s="36">
        <f>IF(B725="","",B725-Settings!$B$4)</f>
        <v/>
      </c>
    </row>
    <row r="726">
      <c r="A726" s="35" t="n"/>
      <c r="B726" s="30" t="n"/>
      <c r="C726" s="36">
        <f>IF(OR(B726="",B725=""),"",B726-B725)</f>
        <v/>
      </c>
      <c r="D726" s="21">
        <f>IF(B726="","",B726/Settings!$B$3^2)</f>
        <v/>
      </c>
      <c r="E726" s="21">
        <f>IF(B726="","",AVERAGE(B720:B726))</f>
        <v/>
      </c>
      <c r="F726" s="36">
        <f>IF(B726="","",B726-Settings!$B$4)</f>
        <v/>
      </c>
    </row>
    <row r="727">
      <c r="A727" s="35" t="n"/>
      <c r="B727" s="30" t="n"/>
      <c r="C727" s="36">
        <f>IF(OR(B727="",B726=""),"",B727-B726)</f>
        <v/>
      </c>
      <c r="D727" s="21">
        <f>IF(B727="","",B727/Settings!$B$3^2)</f>
        <v/>
      </c>
      <c r="E727" s="21">
        <f>IF(B727="","",AVERAGE(B721:B727))</f>
        <v/>
      </c>
      <c r="F727" s="36">
        <f>IF(B727="","",B727-Settings!$B$4)</f>
        <v/>
      </c>
    </row>
    <row r="728">
      <c r="A728" s="35" t="n"/>
      <c r="B728" s="30" t="n"/>
      <c r="C728" s="36">
        <f>IF(OR(B728="",B727=""),"",B728-B727)</f>
        <v/>
      </c>
      <c r="D728" s="21">
        <f>IF(B728="","",B728/Settings!$B$3^2)</f>
        <v/>
      </c>
      <c r="E728" s="21">
        <f>IF(B728="","",AVERAGE(B722:B728))</f>
        <v/>
      </c>
      <c r="F728" s="36">
        <f>IF(B728="","",B728-Settings!$B$4)</f>
        <v/>
      </c>
    </row>
    <row r="729">
      <c r="A729" s="35" t="n"/>
      <c r="B729" s="30" t="n"/>
      <c r="C729" s="36">
        <f>IF(OR(B729="",B728=""),"",B729-B728)</f>
        <v/>
      </c>
      <c r="D729" s="21">
        <f>IF(B729="","",B729/Settings!$B$3^2)</f>
        <v/>
      </c>
      <c r="E729" s="21">
        <f>IF(B729="","",AVERAGE(B723:B729))</f>
        <v/>
      </c>
      <c r="F729" s="36">
        <f>IF(B729="","",B729-Settings!$B$4)</f>
        <v/>
      </c>
    </row>
    <row r="730">
      <c r="A730" s="35" t="n"/>
      <c r="B730" s="30" t="n"/>
      <c r="C730" s="36">
        <f>IF(OR(B730="",B729=""),"",B730-B729)</f>
        <v/>
      </c>
      <c r="D730" s="21">
        <f>IF(B730="","",B730/Settings!$B$3^2)</f>
        <v/>
      </c>
      <c r="E730" s="21">
        <f>IF(B730="","",AVERAGE(B724:B730))</f>
        <v/>
      </c>
      <c r="F730" s="36">
        <f>IF(B730="","",B730-Settings!$B$4)</f>
        <v/>
      </c>
    </row>
    <row r="731">
      <c r="A731" s="35" t="n"/>
      <c r="B731" s="30" t="n"/>
      <c r="C731" s="36">
        <f>IF(OR(B731="",B730=""),"",B731-B730)</f>
        <v/>
      </c>
      <c r="D731" s="21">
        <f>IF(B731="","",B731/Settings!$B$3^2)</f>
        <v/>
      </c>
      <c r="E731" s="21">
        <f>IF(B731="","",AVERAGE(B725:B731))</f>
        <v/>
      </c>
      <c r="F731" s="36">
        <f>IF(B731="","",B731-Settings!$B$4)</f>
        <v/>
      </c>
    </row>
    <row r="732">
      <c r="A732" s="35" t="n"/>
      <c r="B732" s="30" t="n"/>
      <c r="C732" s="36">
        <f>IF(OR(B732="",B731=""),"",B732-B731)</f>
        <v/>
      </c>
      <c r="D732" s="21">
        <f>IF(B732="","",B732/Settings!$B$3^2)</f>
        <v/>
      </c>
      <c r="E732" s="21">
        <f>IF(B732="","",AVERAGE(B726:B732))</f>
        <v/>
      </c>
      <c r="F732" s="36">
        <f>IF(B732="","",B732-Settings!$B$4)</f>
        <v/>
      </c>
    </row>
    <row r="733">
      <c r="A733" s="35" t="n"/>
      <c r="B733" s="30" t="n"/>
      <c r="C733" s="36">
        <f>IF(OR(B733="",B732=""),"",B733-B732)</f>
        <v/>
      </c>
      <c r="D733" s="21">
        <f>IF(B733="","",B733/Settings!$B$3^2)</f>
        <v/>
      </c>
      <c r="E733" s="21">
        <f>IF(B733="","",AVERAGE(B727:B733))</f>
        <v/>
      </c>
      <c r="F733" s="36">
        <f>IF(B733="","",B733-Settings!$B$4)</f>
        <v/>
      </c>
    </row>
    <row r="734">
      <c r="A734" s="35" t="n"/>
      <c r="B734" s="30" t="n"/>
      <c r="C734" s="36">
        <f>IF(OR(B734="",B733=""),"",B734-B733)</f>
        <v/>
      </c>
      <c r="D734" s="21">
        <f>IF(B734="","",B734/Settings!$B$3^2)</f>
        <v/>
      </c>
      <c r="E734" s="21">
        <f>IF(B734="","",AVERAGE(B728:B734))</f>
        <v/>
      </c>
      <c r="F734" s="36">
        <f>IF(B734="","",B734-Settings!$B$4)</f>
        <v/>
      </c>
    </row>
    <row r="735">
      <c r="A735" s="35" t="n"/>
      <c r="B735" s="30" t="n"/>
      <c r="C735" s="36">
        <f>IF(OR(B735="",B734=""),"",B735-B734)</f>
        <v/>
      </c>
      <c r="D735" s="21">
        <f>IF(B735="","",B735/Settings!$B$3^2)</f>
        <v/>
      </c>
      <c r="E735" s="21">
        <f>IF(B735="","",AVERAGE(B729:B735))</f>
        <v/>
      </c>
      <c r="F735" s="36">
        <f>IF(B735="","",B735-Settings!$B$4)</f>
        <v/>
      </c>
    </row>
    <row r="736">
      <c r="A736" s="35" t="n"/>
      <c r="B736" s="30" t="n"/>
      <c r="C736" s="36">
        <f>IF(OR(B736="",B735=""),"",B736-B735)</f>
        <v/>
      </c>
      <c r="D736" s="21">
        <f>IF(B736="","",B736/Settings!$B$3^2)</f>
        <v/>
      </c>
      <c r="E736" s="21">
        <f>IF(B736="","",AVERAGE(B730:B736))</f>
        <v/>
      </c>
      <c r="F736" s="36">
        <f>IF(B736="","",B736-Settings!$B$4)</f>
        <v/>
      </c>
    </row>
    <row r="737">
      <c r="A737" s="35" t="n"/>
      <c r="B737" s="30" t="n"/>
      <c r="C737" s="36">
        <f>IF(OR(B737="",B736=""),"",B737-B736)</f>
        <v/>
      </c>
      <c r="D737" s="21">
        <f>IF(B737="","",B737/Settings!$B$3^2)</f>
        <v/>
      </c>
      <c r="E737" s="21">
        <f>IF(B737="","",AVERAGE(B731:B737))</f>
        <v/>
      </c>
      <c r="F737" s="36">
        <f>IF(B737="","",B737-Settings!$B$4)</f>
        <v/>
      </c>
    </row>
    <row r="738">
      <c r="A738" s="35" t="n"/>
      <c r="B738" s="30" t="n"/>
      <c r="C738" s="36">
        <f>IF(OR(B738="",B737=""),"",B738-B737)</f>
        <v/>
      </c>
      <c r="D738" s="21">
        <f>IF(B738="","",B738/Settings!$B$3^2)</f>
        <v/>
      </c>
      <c r="E738" s="21">
        <f>IF(B738="","",AVERAGE(B732:B738))</f>
        <v/>
      </c>
      <c r="F738" s="36">
        <f>IF(B738="","",B738-Settings!$B$4)</f>
        <v/>
      </c>
    </row>
    <row r="739">
      <c r="A739" s="35" t="n"/>
      <c r="B739" s="30" t="n"/>
      <c r="C739" s="36">
        <f>IF(OR(B739="",B738=""),"",B739-B738)</f>
        <v/>
      </c>
      <c r="D739" s="21">
        <f>IF(B739="","",B739/Settings!$B$3^2)</f>
        <v/>
      </c>
      <c r="E739" s="21">
        <f>IF(B739="","",AVERAGE(B733:B739))</f>
        <v/>
      </c>
      <c r="F739" s="36">
        <f>IF(B739="","",B739-Settings!$B$4)</f>
        <v/>
      </c>
    </row>
    <row r="740">
      <c r="A740" s="35" t="n"/>
      <c r="B740" s="30" t="n"/>
      <c r="C740" s="36">
        <f>IF(OR(B740="",B739=""),"",B740-B739)</f>
        <v/>
      </c>
      <c r="D740" s="21">
        <f>IF(B740="","",B740/Settings!$B$3^2)</f>
        <v/>
      </c>
      <c r="E740" s="21">
        <f>IF(B740="","",AVERAGE(B734:B740))</f>
        <v/>
      </c>
      <c r="F740" s="36">
        <f>IF(B740="","",B740-Settings!$B$4)</f>
        <v/>
      </c>
    </row>
    <row r="741">
      <c r="A741" s="35" t="n"/>
      <c r="B741" s="30" t="n"/>
      <c r="C741" s="36">
        <f>IF(OR(B741="",B740=""),"",B741-B740)</f>
        <v/>
      </c>
      <c r="D741" s="21">
        <f>IF(B741="","",B741/Settings!$B$3^2)</f>
        <v/>
      </c>
      <c r="E741" s="21">
        <f>IF(B741="","",AVERAGE(B735:B741))</f>
        <v/>
      </c>
      <c r="F741" s="36">
        <f>IF(B741="","",B741-Settings!$B$4)</f>
        <v/>
      </c>
    </row>
    <row r="742">
      <c r="A742" s="35" t="n"/>
      <c r="B742" s="30" t="n"/>
      <c r="C742" s="36">
        <f>IF(OR(B742="",B741=""),"",B742-B741)</f>
        <v/>
      </c>
      <c r="D742" s="21">
        <f>IF(B742="","",B742/Settings!$B$3^2)</f>
        <v/>
      </c>
      <c r="E742" s="21">
        <f>IF(B742="","",AVERAGE(B736:B742))</f>
        <v/>
      </c>
      <c r="F742" s="36">
        <f>IF(B742="","",B742-Settings!$B$4)</f>
        <v/>
      </c>
    </row>
    <row r="743">
      <c r="A743" s="35" t="n"/>
      <c r="B743" s="30" t="n"/>
      <c r="C743" s="36">
        <f>IF(OR(B743="",B742=""),"",B743-B742)</f>
        <v/>
      </c>
      <c r="D743" s="21">
        <f>IF(B743="","",B743/Settings!$B$3^2)</f>
        <v/>
      </c>
      <c r="E743" s="21">
        <f>IF(B743="","",AVERAGE(B737:B743))</f>
        <v/>
      </c>
      <c r="F743" s="36">
        <f>IF(B743="","",B743-Settings!$B$4)</f>
        <v/>
      </c>
    </row>
    <row r="744">
      <c r="A744" s="35" t="n"/>
      <c r="B744" s="30" t="n"/>
      <c r="C744" s="36">
        <f>IF(OR(B744="",B743=""),"",B744-B743)</f>
        <v/>
      </c>
      <c r="D744" s="21">
        <f>IF(B744="","",B744/Settings!$B$3^2)</f>
        <v/>
      </c>
      <c r="E744" s="21">
        <f>IF(B744="","",AVERAGE(B738:B744))</f>
        <v/>
      </c>
      <c r="F744" s="36">
        <f>IF(B744="","",B744-Settings!$B$4)</f>
        <v/>
      </c>
    </row>
    <row r="745">
      <c r="A745" s="35" t="n"/>
      <c r="B745" s="30" t="n"/>
      <c r="C745" s="36">
        <f>IF(OR(B745="",B744=""),"",B745-B744)</f>
        <v/>
      </c>
      <c r="D745" s="21">
        <f>IF(B745="","",B745/Settings!$B$3^2)</f>
        <v/>
      </c>
      <c r="E745" s="21">
        <f>IF(B745="","",AVERAGE(B739:B745))</f>
        <v/>
      </c>
      <c r="F745" s="36">
        <f>IF(B745="","",B745-Settings!$B$4)</f>
        <v/>
      </c>
    </row>
    <row r="746">
      <c r="A746" s="35" t="n"/>
      <c r="B746" s="30" t="n"/>
      <c r="C746" s="36">
        <f>IF(OR(B746="",B745=""),"",B746-B745)</f>
        <v/>
      </c>
      <c r="D746" s="21">
        <f>IF(B746="","",B746/Settings!$B$3^2)</f>
        <v/>
      </c>
      <c r="E746" s="21">
        <f>IF(B746="","",AVERAGE(B740:B746))</f>
        <v/>
      </c>
      <c r="F746" s="36">
        <f>IF(B746="","",B746-Settings!$B$4)</f>
        <v/>
      </c>
    </row>
    <row r="747">
      <c r="A747" s="35" t="n"/>
      <c r="B747" s="30" t="n"/>
      <c r="C747" s="36">
        <f>IF(OR(B747="",B746=""),"",B747-B746)</f>
        <v/>
      </c>
      <c r="D747" s="21">
        <f>IF(B747="","",B747/Settings!$B$3^2)</f>
        <v/>
      </c>
      <c r="E747" s="21">
        <f>IF(B747="","",AVERAGE(B741:B747))</f>
        <v/>
      </c>
      <c r="F747" s="36">
        <f>IF(B747="","",B747-Settings!$B$4)</f>
        <v/>
      </c>
    </row>
    <row r="748">
      <c r="A748" s="35" t="n"/>
      <c r="B748" s="30" t="n"/>
      <c r="C748" s="36">
        <f>IF(OR(B748="",B747=""),"",B748-B747)</f>
        <v/>
      </c>
      <c r="D748" s="21">
        <f>IF(B748="","",B748/Settings!$B$3^2)</f>
        <v/>
      </c>
      <c r="E748" s="21">
        <f>IF(B748="","",AVERAGE(B742:B748))</f>
        <v/>
      </c>
      <c r="F748" s="36">
        <f>IF(B748="","",B748-Settings!$B$4)</f>
        <v/>
      </c>
    </row>
    <row r="749">
      <c r="A749" s="35" t="n"/>
      <c r="B749" s="30" t="n"/>
      <c r="C749" s="36">
        <f>IF(OR(B749="",B748=""),"",B749-B748)</f>
        <v/>
      </c>
      <c r="D749" s="21">
        <f>IF(B749="","",B749/Settings!$B$3^2)</f>
        <v/>
      </c>
      <c r="E749" s="21">
        <f>IF(B749="","",AVERAGE(B743:B749))</f>
        <v/>
      </c>
      <c r="F749" s="36">
        <f>IF(B749="","",B749-Settings!$B$4)</f>
        <v/>
      </c>
    </row>
    <row r="750">
      <c r="A750" s="35" t="n"/>
      <c r="B750" s="30" t="n"/>
      <c r="C750" s="36">
        <f>IF(OR(B750="",B749=""),"",B750-B749)</f>
        <v/>
      </c>
      <c r="D750" s="21">
        <f>IF(B750="","",B750/Settings!$B$3^2)</f>
        <v/>
      </c>
      <c r="E750" s="21">
        <f>IF(B750="","",AVERAGE(B744:B750))</f>
        <v/>
      </c>
      <c r="F750" s="36">
        <f>IF(B750="","",B750-Settings!$B$4)</f>
        <v/>
      </c>
    </row>
    <row r="751">
      <c r="A751" s="35" t="n"/>
      <c r="B751" s="30" t="n"/>
      <c r="C751" s="36">
        <f>IF(OR(B751="",B750=""),"",B751-B750)</f>
        <v/>
      </c>
      <c r="D751" s="21">
        <f>IF(B751="","",B751/Settings!$B$3^2)</f>
        <v/>
      </c>
      <c r="E751" s="21">
        <f>IF(B751="","",AVERAGE(B745:B751))</f>
        <v/>
      </c>
      <c r="F751" s="36">
        <f>IF(B751="","",B751-Settings!$B$4)</f>
        <v/>
      </c>
    </row>
    <row r="752">
      <c r="A752" s="35" t="n"/>
      <c r="B752" s="30" t="n"/>
      <c r="C752" s="36">
        <f>IF(OR(B752="",B751=""),"",B752-B751)</f>
        <v/>
      </c>
      <c r="D752" s="21">
        <f>IF(B752="","",B752/Settings!$B$3^2)</f>
        <v/>
      </c>
      <c r="E752" s="21">
        <f>IF(B752="","",AVERAGE(B746:B752))</f>
        <v/>
      </c>
      <c r="F752" s="36">
        <f>IF(B752="","",B752-Settings!$B$4)</f>
        <v/>
      </c>
    </row>
    <row r="753">
      <c r="A753" s="35" t="n"/>
      <c r="B753" s="30" t="n"/>
      <c r="C753" s="36">
        <f>IF(OR(B753="",B752=""),"",B753-B752)</f>
        <v/>
      </c>
      <c r="D753" s="21">
        <f>IF(B753="","",B753/Settings!$B$3^2)</f>
        <v/>
      </c>
      <c r="E753" s="21">
        <f>IF(B753="","",AVERAGE(B747:B753))</f>
        <v/>
      </c>
      <c r="F753" s="36">
        <f>IF(B753="","",B753-Settings!$B$4)</f>
        <v/>
      </c>
    </row>
    <row r="754">
      <c r="A754" s="35" t="n"/>
      <c r="B754" s="30" t="n"/>
      <c r="C754" s="36">
        <f>IF(OR(B754="",B753=""),"",B754-B753)</f>
        <v/>
      </c>
      <c r="D754" s="21">
        <f>IF(B754="","",B754/Settings!$B$3^2)</f>
        <v/>
      </c>
      <c r="E754" s="21">
        <f>IF(B754="","",AVERAGE(B748:B754))</f>
        <v/>
      </c>
      <c r="F754" s="36">
        <f>IF(B754="","",B754-Settings!$B$4)</f>
        <v/>
      </c>
    </row>
    <row r="755">
      <c r="A755" s="35" t="n"/>
      <c r="B755" s="30" t="n"/>
      <c r="C755" s="36">
        <f>IF(OR(B755="",B754=""),"",B755-B754)</f>
        <v/>
      </c>
      <c r="D755" s="21">
        <f>IF(B755="","",B755/Settings!$B$3^2)</f>
        <v/>
      </c>
      <c r="E755" s="21">
        <f>IF(B755="","",AVERAGE(B749:B755))</f>
        <v/>
      </c>
      <c r="F755" s="36">
        <f>IF(B755="","",B755-Settings!$B$4)</f>
        <v/>
      </c>
    </row>
    <row r="756">
      <c r="A756" s="35" t="n"/>
      <c r="B756" s="30" t="n"/>
      <c r="C756" s="36">
        <f>IF(OR(B756="",B755=""),"",B756-B755)</f>
        <v/>
      </c>
      <c r="D756" s="21">
        <f>IF(B756="","",B756/Settings!$B$3^2)</f>
        <v/>
      </c>
      <c r="E756" s="21">
        <f>IF(B756="","",AVERAGE(B750:B756))</f>
        <v/>
      </c>
      <c r="F756" s="36">
        <f>IF(B756="","",B756-Settings!$B$4)</f>
        <v/>
      </c>
    </row>
    <row r="757">
      <c r="A757" s="35" t="n"/>
      <c r="B757" s="30" t="n"/>
      <c r="C757" s="36">
        <f>IF(OR(B757="",B756=""),"",B757-B756)</f>
        <v/>
      </c>
      <c r="D757" s="21">
        <f>IF(B757="","",B757/Settings!$B$3^2)</f>
        <v/>
      </c>
      <c r="E757" s="21">
        <f>IF(B757="","",AVERAGE(B751:B757))</f>
        <v/>
      </c>
      <c r="F757" s="36">
        <f>IF(B757="","",B757-Settings!$B$4)</f>
        <v/>
      </c>
    </row>
    <row r="758">
      <c r="A758" s="35" t="n"/>
      <c r="B758" s="30" t="n"/>
      <c r="C758" s="36">
        <f>IF(OR(B758="",B757=""),"",B758-B757)</f>
        <v/>
      </c>
      <c r="D758" s="21">
        <f>IF(B758="","",B758/Settings!$B$3^2)</f>
        <v/>
      </c>
      <c r="E758" s="21">
        <f>IF(B758="","",AVERAGE(B752:B758))</f>
        <v/>
      </c>
      <c r="F758" s="36">
        <f>IF(B758="","",B758-Settings!$B$4)</f>
        <v/>
      </c>
    </row>
    <row r="759">
      <c r="A759" s="35" t="n"/>
      <c r="B759" s="30" t="n"/>
      <c r="C759" s="36">
        <f>IF(OR(B759="",B758=""),"",B759-B758)</f>
        <v/>
      </c>
      <c r="D759" s="21">
        <f>IF(B759="","",B759/Settings!$B$3^2)</f>
        <v/>
      </c>
      <c r="E759" s="21">
        <f>IF(B759="","",AVERAGE(B753:B759))</f>
        <v/>
      </c>
      <c r="F759" s="36">
        <f>IF(B759="","",B759-Settings!$B$4)</f>
        <v/>
      </c>
    </row>
    <row r="760">
      <c r="A760" s="35" t="n"/>
      <c r="B760" s="30" t="n"/>
      <c r="C760" s="36">
        <f>IF(OR(B760="",B759=""),"",B760-B759)</f>
        <v/>
      </c>
      <c r="D760" s="21">
        <f>IF(B760="","",B760/Settings!$B$3^2)</f>
        <v/>
      </c>
      <c r="E760" s="21">
        <f>IF(B760="","",AVERAGE(B754:B760))</f>
        <v/>
      </c>
      <c r="F760" s="36">
        <f>IF(B760="","",B760-Settings!$B$4)</f>
        <v/>
      </c>
    </row>
    <row r="761">
      <c r="A761" s="35" t="n"/>
      <c r="B761" s="30" t="n"/>
      <c r="C761" s="36">
        <f>IF(OR(B761="",B760=""),"",B761-B760)</f>
        <v/>
      </c>
      <c r="D761" s="21">
        <f>IF(B761="","",B761/Settings!$B$3^2)</f>
        <v/>
      </c>
      <c r="E761" s="21">
        <f>IF(B761="","",AVERAGE(B755:B761))</f>
        <v/>
      </c>
      <c r="F761" s="36">
        <f>IF(B761="","",B761-Settings!$B$4)</f>
        <v/>
      </c>
    </row>
    <row r="762">
      <c r="A762" s="35" t="n"/>
      <c r="B762" s="30" t="n"/>
      <c r="C762" s="36">
        <f>IF(OR(B762="",B761=""),"",B762-B761)</f>
        <v/>
      </c>
      <c r="D762" s="21">
        <f>IF(B762="","",B762/Settings!$B$3^2)</f>
        <v/>
      </c>
      <c r="E762" s="21">
        <f>IF(B762="","",AVERAGE(B756:B762))</f>
        <v/>
      </c>
      <c r="F762" s="36">
        <f>IF(B762="","",B762-Settings!$B$4)</f>
        <v/>
      </c>
    </row>
    <row r="763">
      <c r="A763" s="35" t="n"/>
      <c r="B763" s="30" t="n"/>
      <c r="C763" s="36">
        <f>IF(OR(B763="",B762=""),"",B763-B762)</f>
        <v/>
      </c>
      <c r="D763" s="21">
        <f>IF(B763="","",B763/Settings!$B$3^2)</f>
        <v/>
      </c>
      <c r="E763" s="21">
        <f>IF(B763="","",AVERAGE(B757:B763))</f>
        <v/>
      </c>
      <c r="F763" s="36">
        <f>IF(B763="","",B763-Settings!$B$4)</f>
        <v/>
      </c>
    </row>
    <row r="764">
      <c r="A764" s="35" t="n"/>
      <c r="B764" s="30" t="n"/>
      <c r="C764" s="36">
        <f>IF(OR(B764="",B763=""),"",B764-B763)</f>
        <v/>
      </c>
      <c r="D764" s="21">
        <f>IF(B764="","",B764/Settings!$B$3^2)</f>
        <v/>
      </c>
      <c r="E764" s="21">
        <f>IF(B764="","",AVERAGE(B758:B764))</f>
        <v/>
      </c>
      <c r="F764" s="36">
        <f>IF(B764="","",B764-Settings!$B$4)</f>
        <v/>
      </c>
    </row>
    <row r="765">
      <c r="A765" s="35" t="n"/>
      <c r="B765" s="30" t="n"/>
      <c r="C765" s="36">
        <f>IF(OR(B765="",B764=""),"",B765-B764)</f>
        <v/>
      </c>
      <c r="D765" s="21">
        <f>IF(B765="","",B765/Settings!$B$3^2)</f>
        <v/>
      </c>
      <c r="E765" s="21">
        <f>IF(B765="","",AVERAGE(B759:B765))</f>
        <v/>
      </c>
      <c r="F765" s="36">
        <f>IF(B765="","",B765-Settings!$B$4)</f>
        <v/>
      </c>
    </row>
    <row r="766">
      <c r="A766" s="35" t="n"/>
      <c r="B766" s="30" t="n"/>
      <c r="C766" s="36">
        <f>IF(OR(B766="",B765=""),"",B766-B765)</f>
        <v/>
      </c>
      <c r="D766" s="21">
        <f>IF(B766="","",B766/Settings!$B$3^2)</f>
        <v/>
      </c>
      <c r="E766" s="21">
        <f>IF(B766="","",AVERAGE(B760:B766))</f>
        <v/>
      </c>
      <c r="F766" s="36">
        <f>IF(B766="","",B766-Settings!$B$4)</f>
        <v/>
      </c>
    </row>
    <row r="767">
      <c r="A767" s="35" t="n"/>
      <c r="B767" s="30" t="n"/>
      <c r="C767" s="36">
        <f>IF(OR(B767="",B766=""),"",B767-B766)</f>
        <v/>
      </c>
      <c r="D767" s="21">
        <f>IF(B767="","",B767/Settings!$B$3^2)</f>
        <v/>
      </c>
      <c r="E767" s="21">
        <f>IF(B767="","",AVERAGE(B761:B767))</f>
        <v/>
      </c>
      <c r="F767" s="36">
        <f>IF(B767="","",B767-Settings!$B$4)</f>
        <v/>
      </c>
    </row>
    <row r="768">
      <c r="A768" s="35" t="n"/>
      <c r="B768" s="30" t="n"/>
      <c r="C768" s="36">
        <f>IF(OR(B768="",B767=""),"",B768-B767)</f>
        <v/>
      </c>
      <c r="D768" s="21">
        <f>IF(B768="","",B768/Settings!$B$3^2)</f>
        <v/>
      </c>
      <c r="E768" s="21">
        <f>IF(B768="","",AVERAGE(B762:B768))</f>
        <v/>
      </c>
      <c r="F768" s="36">
        <f>IF(B768="","",B768-Settings!$B$4)</f>
        <v/>
      </c>
    </row>
    <row r="769">
      <c r="A769" s="35" t="n"/>
      <c r="B769" s="30" t="n"/>
      <c r="C769" s="36">
        <f>IF(OR(B769="",B768=""),"",B769-B768)</f>
        <v/>
      </c>
      <c r="D769" s="21">
        <f>IF(B769="","",B769/Settings!$B$3^2)</f>
        <v/>
      </c>
      <c r="E769" s="21">
        <f>IF(B769="","",AVERAGE(B763:B769))</f>
        <v/>
      </c>
      <c r="F769" s="36">
        <f>IF(B769="","",B769-Settings!$B$4)</f>
        <v/>
      </c>
    </row>
    <row r="770">
      <c r="A770" s="35" t="n"/>
      <c r="B770" s="30" t="n"/>
      <c r="C770" s="36">
        <f>IF(OR(B770="",B769=""),"",B770-B769)</f>
        <v/>
      </c>
      <c r="D770" s="21">
        <f>IF(B770="","",B770/Settings!$B$3^2)</f>
        <v/>
      </c>
      <c r="E770" s="21">
        <f>IF(B770="","",AVERAGE(B764:B770))</f>
        <v/>
      </c>
      <c r="F770" s="36">
        <f>IF(B770="","",B770-Settings!$B$4)</f>
        <v/>
      </c>
    </row>
    <row r="771">
      <c r="A771" s="35" t="n"/>
      <c r="B771" s="30" t="n"/>
      <c r="C771" s="36">
        <f>IF(OR(B771="",B770=""),"",B771-B770)</f>
        <v/>
      </c>
      <c r="D771" s="21">
        <f>IF(B771="","",B771/Settings!$B$3^2)</f>
        <v/>
      </c>
      <c r="E771" s="21">
        <f>IF(B771="","",AVERAGE(B765:B771))</f>
        <v/>
      </c>
      <c r="F771" s="36">
        <f>IF(B771="","",B771-Settings!$B$4)</f>
        <v/>
      </c>
    </row>
    <row r="772">
      <c r="A772" s="35" t="n"/>
      <c r="B772" s="30" t="n"/>
      <c r="C772" s="36">
        <f>IF(OR(B772="",B771=""),"",B772-B771)</f>
        <v/>
      </c>
      <c r="D772" s="21">
        <f>IF(B772="","",B772/Settings!$B$3^2)</f>
        <v/>
      </c>
      <c r="E772" s="21">
        <f>IF(B772="","",AVERAGE(B766:B772))</f>
        <v/>
      </c>
      <c r="F772" s="36">
        <f>IF(B772="","",B772-Settings!$B$4)</f>
        <v/>
      </c>
    </row>
    <row r="773">
      <c r="A773" s="35" t="n"/>
      <c r="B773" s="30" t="n"/>
      <c r="C773" s="36">
        <f>IF(OR(B773="",B772=""),"",B773-B772)</f>
        <v/>
      </c>
      <c r="D773" s="21">
        <f>IF(B773="","",B773/Settings!$B$3^2)</f>
        <v/>
      </c>
      <c r="E773" s="21">
        <f>IF(B773="","",AVERAGE(B767:B773))</f>
        <v/>
      </c>
      <c r="F773" s="36">
        <f>IF(B773="","",B773-Settings!$B$4)</f>
        <v/>
      </c>
    </row>
    <row r="774">
      <c r="A774" s="35" t="n"/>
      <c r="B774" s="30" t="n"/>
      <c r="C774" s="36">
        <f>IF(OR(B774="",B773=""),"",B774-B773)</f>
        <v/>
      </c>
      <c r="D774" s="21">
        <f>IF(B774="","",B774/Settings!$B$3^2)</f>
        <v/>
      </c>
      <c r="E774" s="21">
        <f>IF(B774="","",AVERAGE(B768:B774))</f>
        <v/>
      </c>
      <c r="F774" s="36">
        <f>IF(B774="","",B774-Settings!$B$4)</f>
        <v/>
      </c>
    </row>
    <row r="775">
      <c r="A775" s="35" t="n"/>
      <c r="B775" s="30" t="n"/>
      <c r="C775" s="36">
        <f>IF(OR(B775="",B774=""),"",B775-B774)</f>
        <v/>
      </c>
      <c r="D775" s="21">
        <f>IF(B775="","",B775/Settings!$B$3^2)</f>
        <v/>
      </c>
      <c r="E775" s="21">
        <f>IF(B775="","",AVERAGE(B769:B775))</f>
        <v/>
      </c>
      <c r="F775" s="36">
        <f>IF(B775="","",B775-Settings!$B$4)</f>
        <v/>
      </c>
    </row>
    <row r="776">
      <c r="A776" s="35" t="n"/>
      <c r="B776" s="30" t="n"/>
      <c r="C776" s="36">
        <f>IF(OR(B776="",B775=""),"",B776-B775)</f>
        <v/>
      </c>
      <c r="D776" s="21">
        <f>IF(B776="","",B776/Settings!$B$3^2)</f>
        <v/>
      </c>
      <c r="E776" s="21">
        <f>IF(B776="","",AVERAGE(B770:B776))</f>
        <v/>
      </c>
      <c r="F776" s="36">
        <f>IF(B776="","",B776-Settings!$B$4)</f>
        <v/>
      </c>
    </row>
    <row r="777">
      <c r="A777" s="35" t="n"/>
      <c r="B777" s="30" t="n"/>
      <c r="C777" s="36">
        <f>IF(OR(B777="",B776=""),"",B777-B776)</f>
        <v/>
      </c>
      <c r="D777" s="21">
        <f>IF(B777="","",B777/Settings!$B$3^2)</f>
        <v/>
      </c>
      <c r="E777" s="21">
        <f>IF(B777="","",AVERAGE(B771:B777))</f>
        <v/>
      </c>
      <c r="F777" s="36">
        <f>IF(B777="","",B777-Settings!$B$4)</f>
        <v/>
      </c>
    </row>
    <row r="778">
      <c r="A778" s="35" t="n"/>
      <c r="B778" s="30" t="n"/>
      <c r="C778" s="36">
        <f>IF(OR(B778="",B777=""),"",B778-B777)</f>
        <v/>
      </c>
      <c r="D778" s="21">
        <f>IF(B778="","",B778/Settings!$B$3^2)</f>
        <v/>
      </c>
      <c r="E778" s="21">
        <f>IF(B778="","",AVERAGE(B772:B778))</f>
        <v/>
      </c>
      <c r="F778" s="36">
        <f>IF(B778="","",B778-Settings!$B$4)</f>
        <v/>
      </c>
    </row>
    <row r="779">
      <c r="A779" s="35" t="n"/>
      <c r="B779" s="30" t="n"/>
      <c r="C779" s="36">
        <f>IF(OR(B779="",B778=""),"",B779-B778)</f>
        <v/>
      </c>
      <c r="D779" s="21">
        <f>IF(B779="","",B779/Settings!$B$3^2)</f>
        <v/>
      </c>
      <c r="E779" s="21">
        <f>IF(B779="","",AVERAGE(B773:B779))</f>
        <v/>
      </c>
      <c r="F779" s="36">
        <f>IF(B779="","",B779-Settings!$B$4)</f>
        <v/>
      </c>
    </row>
    <row r="780">
      <c r="A780" s="35" t="n"/>
      <c r="B780" s="30" t="n"/>
      <c r="C780" s="36">
        <f>IF(OR(B780="",B779=""),"",B780-B779)</f>
        <v/>
      </c>
      <c r="D780" s="21">
        <f>IF(B780="","",B780/Settings!$B$3^2)</f>
        <v/>
      </c>
      <c r="E780" s="21">
        <f>IF(B780="","",AVERAGE(B774:B780))</f>
        <v/>
      </c>
      <c r="F780" s="36">
        <f>IF(B780="","",B780-Settings!$B$4)</f>
        <v/>
      </c>
    </row>
    <row r="781">
      <c r="A781" s="35" t="n"/>
      <c r="B781" s="30" t="n"/>
      <c r="C781" s="36">
        <f>IF(OR(B781="",B780=""),"",B781-B780)</f>
        <v/>
      </c>
      <c r="D781" s="21">
        <f>IF(B781="","",B781/Settings!$B$3^2)</f>
        <v/>
      </c>
      <c r="E781" s="21">
        <f>IF(B781="","",AVERAGE(B775:B781))</f>
        <v/>
      </c>
      <c r="F781" s="36">
        <f>IF(B781="","",B781-Settings!$B$4)</f>
        <v/>
      </c>
    </row>
    <row r="782">
      <c r="A782" s="35" t="n"/>
      <c r="B782" s="30" t="n"/>
      <c r="C782" s="36">
        <f>IF(OR(B782="",B781=""),"",B782-B781)</f>
        <v/>
      </c>
      <c r="D782" s="21">
        <f>IF(B782="","",B782/Settings!$B$3^2)</f>
        <v/>
      </c>
      <c r="E782" s="21">
        <f>IF(B782="","",AVERAGE(B776:B782))</f>
        <v/>
      </c>
      <c r="F782" s="36">
        <f>IF(B782="","",B782-Settings!$B$4)</f>
        <v/>
      </c>
    </row>
    <row r="783">
      <c r="A783" s="35" t="n"/>
      <c r="B783" s="30" t="n"/>
      <c r="C783" s="36">
        <f>IF(OR(B783="",B782=""),"",B783-B782)</f>
        <v/>
      </c>
      <c r="D783" s="21">
        <f>IF(B783="","",B783/Settings!$B$3^2)</f>
        <v/>
      </c>
      <c r="E783" s="21">
        <f>IF(B783="","",AVERAGE(B777:B783))</f>
        <v/>
      </c>
      <c r="F783" s="36">
        <f>IF(B783="","",B783-Settings!$B$4)</f>
        <v/>
      </c>
    </row>
    <row r="784">
      <c r="A784" s="35" t="n"/>
      <c r="B784" s="30" t="n"/>
      <c r="C784" s="36">
        <f>IF(OR(B784="",B783=""),"",B784-B783)</f>
        <v/>
      </c>
      <c r="D784" s="21">
        <f>IF(B784="","",B784/Settings!$B$3^2)</f>
        <v/>
      </c>
      <c r="E784" s="21">
        <f>IF(B784="","",AVERAGE(B778:B784))</f>
        <v/>
      </c>
      <c r="F784" s="36">
        <f>IF(B784="","",B784-Settings!$B$4)</f>
        <v/>
      </c>
    </row>
    <row r="785">
      <c r="A785" s="35" t="n"/>
      <c r="B785" s="30" t="n"/>
      <c r="C785" s="36">
        <f>IF(OR(B785="",B784=""),"",B785-B784)</f>
        <v/>
      </c>
      <c r="D785" s="21">
        <f>IF(B785="","",B785/Settings!$B$3^2)</f>
        <v/>
      </c>
      <c r="E785" s="21">
        <f>IF(B785="","",AVERAGE(B779:B785))</f>
        <v/>
      </c>
      <c r="F785" s="36">
        <f>IF(B785="","",B785-Settings!$B$4)</f>
        <v/>
      </c>
    </row>
    <row r="786">
      <c r="A786" s="35" t="n"/>
      <c r="B786" s="30" t="n"/>
      <c r="C786" s="36">
        <f>IF(OR(B786="",B785=""),"",B786-B785)</f>
        <v/>
      </c>
      <c r="D786" s="21">
        <f>IF(B786="","",B786/Settings!$B$3^2)</f>
        <v/>
      </c>
      <c r="E786" s="21">
        <f>IF(B786="","",AVERAGE(B780:B786))</f>
        <v/>
      </c>
      <c r="F786" s="36">
        <f>IF(B786="","",B786-Settings!$B$4)</f>
        <v/>
      </c>
    </row>
    <row r="787">
      <c r="A787" s="35" t="n"/>
      <c r="B787" s="30" t="n"/>
      <c r="C787" s="36">
        <f>IF(OR(B787="",B786=""),"",B787-B786)</f>
        <v/>
      </c>
      <c r="D787" s="21">
        <f>IF(B787="","",B787/Settings!$B$3^2)</f>
        <v/>
      </c>
      <c r="E787" s="21">
        <f>IF(B787="","",AVERAGE(B781:B787))</f>
        <v/>
      </c>
      <c r="F787" s="36">
        <f>IF(B787="","",B787-Settings!$B$4)</f>
        <v/>
      </c>
    </row>
    <row r="788">
      <c r="A788" s="35" t="n"/>
      <c r="B788" s="30" t="n"/>
      <c r="C788" s="36">
        <f>IF(OR(B788="",B787=""),"",B788-B787)</f>
        <v/>
      </c>
      <c r="D788" s="21">
        <f>IF(B788="","",B788/Settings!$B$3^2)</f>
        <v/>
      </c>
      <c r="E788" s="21">
        <f>IF(B788="","",AVERAGE(B782:B788))</f>
        <v/>
      </c>
      <c r="F788" s="36">
        <f>IF(B788="","",B788-Settings!$B$4)</f>
        <v/>
      </c>
    </row>
    <row r="789">
      <c r="A789" s="35" t="n"/>
      <c r="B789" s="30" t="n"/>
      <c r="C789" s="36">
        <f>IF(OR(B789="",B788=""),"",B789-B788)</f>
        <v/>
      </c>
      <c r="D789" s="21">
        <f>IF(B789="","",B789/Settings!$B$3^2)</f>
        <v/>
      </c>
      <c r="E789" s="21">
        <f>IF(B789="","",AVERAGE(B783:B789))</f>
        <v/>
      </c>
      <c r="F789" s="36">
        <f>IF(B789="","",B789-Settings!$B$4)</f>
        <v/>
      </c>
    </row>
    <row r="790">
      <c r="A790" s="35" t="n"/>
      <c r="B790" s="30" t="n"/>
      <c r="C790" s="36">
        <f>IF(OR(B790="",B789=""),"",B790-B789)</f>
        <v/>
      </c>
      <c r="D790" s="21">
        <f>IF(B790="","",B790/Settings!$B$3^2)</f>
        <v/>
      </c>
      <c r="E790" s="21">
        <f>IF(B790="","",AVERAGE(B784:B790))</f>
        <v/>
      </c>
      <c r="F790" s="36">
        <f>IF(B790="","",B790-Settings!$B$4)</f>
        <v/>
      </c>
    </row>
    <row r="791">
      <c r="A791" s="35" t="n"/>
      <c r="B791" s="30" t="n"/>
      <c r="C791" s="36">
        <f>IF(OR(B791="",B790=""),"",B791-B790)</f>
        <v/>
      </c>
      <c r="D791" s="21">
        <f>IF(B791="","",B791/Settings!$B$3^2)</f>
        <v/>
      </c>
      <c r="E791" s="21">
        <f>IF(B791="","",AVERAGE(B785:B791))</f>
        <v/>
      </c>
      <c r="F791" s="36">
        <f>IF(B791="","",B791-Settings!$B$4)</f>
        <v/>
      </c>
    </row>
    <row r="792">
      <c r="A792" s="35" t="n"/>
      <c r="B792" s="30" t="n"/>
      <c r="C792" s="36">
        <f>IF(OR(B792="",B791=""),"",B792-B791)</f>
        <v/>
      </c>
      <c r="D792" s="21">
        <f>IF(B792="","",B792/Settings!$B$3^2)</f>
        <v/>
      </c>
      <c r="E792" s="21">
        <f>IF(B792="","",AVERAGE(B786:B792))</f>
        <v/>
      </c>
      <c r="F792" s="36">
        <f>IF(B792="","",B792-Settings!$B$4)</f>
        <v/>
      </c>
    </row>
    <row r="793">
      <c r="A793" s="35" t="n"/>
      <c r="B793" s="30" t="n"/>
      <c r="C793" s="36">
        <f>IF(OR(B793="",B792=""),"",B793-B792)</f>
        <v/>
      </c>
      <c r="D793" s="21">
        <f>IF(B793="","",B793/Settings!$B$3^2)</f>
        <v/>
      </c>
      <c r="E793" s="21">
        <f>IF(B793="","",AVERAGE(B787:B793))</f>
        <v/>
      </c>
      <c r="F793" s="36">
        <f>IF(B793="","",B793-Settings!$B$4)</f>
        <v/>
      </c>
    </row>
    <row r="794">
      <c r="A794" s="35" t="n"/>
      <c r="B794" s="30" t="n"/>
      <c r="C794" s="36">
        <f>IF(OR(B794="",B793=""),"",B794-B793)</f>
        <v/>
      </c>
      <c r="D794" s="21">
        <f>IF(B794="","",B794/Settings!$B$3^2)</f>
        <v/>
      </c>
      <c r="E794" s="21">
        <f>IF(B794="","",AVERAGE(B788:B794))</f>
        <v/>
      </c>
      <c r="F794" s="36">
        <f>IF(B794="","",B794-Settings!$B$4)</f>
        <v/>
      </c>
    </row>
    <row r="795">
      <c r="A795" s="35" t="n"/>
      <c r="B795" s="30" t="n"/>
      <c r="C795" s="36">
        <f>IF(OR(B795="",B794=""),"",B795-B794)</f>
        <v/>
      </c>
      <c r="D795" s="21">
        <f>IF(B795="","",B795/Settings!$B$3^2)</f>
        <v/>
      </c>
      <c r="E795" s="21">
        <f>IF(B795="","",AVERAGE(B789:B795))</f>
        <v/>
      </c>
      <c r="F795" s="36">
        <f>IF(B795="","",B795-Settings!$B$4)</f>
        <v/>
      </c>
    </row>
    <row r="796">
      <c r="A796" s="35" t="n"/>
      <c r="B796" s="30" t="n"/>
      <c r="C796" s="36">
        <f>IF(OR(B796="",B795=""),"",B796-B795)</f>
        <v/>
      </c>
      <c r="D796" s="21">
        <f>IF(B796="","",B796/Settings!$B$3^2)</f>
        <v/>
      </c>
      <c r="E796" s="21">
        <f>IF(B796="","",AVERAGE(B790:B796))</f>
        <v/>
      </c>
      <c r="F796" s="36">
        <f>IF(B796="","",B796-Settings!$B$4)</f>
        <v/>
      </c>
    </row>
    <row r="797">
      <c r="A797" s="35" t="n"/>
      <c r="B797" s="30" t="n"/>
      <c r="C797" s="36">
        <f>IF(OR(B797="",B796=""),"",B797-B796)</f>
        <v/>
      </c>
      <c r="D797" s="21">
        <f>IF(B797="","",B797/Settings!$B$3^2)</f>
        <v/>
      </c>
      <c r="E797" s="21">
        <f>IF(B797="","",AVERAGE(B791:B797))</f>
        <v/>
      </c>
      <c r="F797" s="36">
        <f>IF(B797="","",B797-Settings!$B$4)</f>
        <v/>
      </c>
    </row>
    <row r="798">
      <c r="A798" s="35" t="n"/>
      <c r="B798" s="30" t="n"/>
      <c r="C798" s="36">
        <f>IF(OR(B798="",B797=""),"",B798-B797)</f>
        <v/>
      </c>
      <c r="D798" s="21">
        <f>IF(B798="","",B798/Settings!$B$3^2)</f>
        <v/>
      </c>
      <c r="E798" s="21">
        <f>IF(B798="","",AVERAGE(B792:B798))</f>
        <v/>
      </c>
      <c r="F798" s="36">
        <f>IF(B798="","",B798-Settings!$B$4)</f>
        <v/>
      </c>
    </row>
    <row r="799">
      <c r="A799" s="35" t="n"/>
      <c r="B799" s="30" t="n"/>
      <c r="C799" s="36">
        <f>IF(OR(B799="",B798=""),"",B799-B798)</f>
        <v/>
      </c>
      <c r="D799" s="21">
        <f>IF(B799="","",B799/Settings!$B$3^2)</f>
        <v/>
      </c>
      <c r="E799" s="21">
        <f>IF(B799="","",AVERAGE(B793:B799))</f>
        <v/>
      </c>
      <c r="F799" s="36">
        <f>IF(B799="","",B799-Settings!$B$4)</f>
        <v/>
      </c>
    </row>
    <row r="800">
      <c r="A800" s="35" t="n"/>
      <c r="B800" s="30" t="n"/>
      <c r="C800" s="36">
        <f>IF(OR(B800="",B799=""),"",B800-B799)</f>
        <v/>
      </c>
      <c r="D800" s="21">
        <f>IF(B800="","",B800/Settings!$B$3^2)</f>
        <v/>
      </c>
      <c r="E800" s="21">
        <f>IF(B800="","",AVERAGE(B794:B800))</f>
        <v/>
      </c>
      <c r="F800" s="36">
        <f>IF(B800="","",B800-Settings!$B$4)</f>
        <v/>
      </c>
    </row>
    <row r="801">
      <c r="A801" s="35" t="n"/>
      <c r="B801" s="30" t="n"/>
      <c r="C801" s="36">
        <f>IF(OR(B801="",B800=""),"",B801-B800)</f>
        <v/>
      </c>
      <c r="D801" s="21">
        <f>IF(B801="","",B801/Settings!$B$3^2)</f>
        <v/>
      </c>
      <c r="E801" s="21">
        <f>IF(B801="","",AVERAGE(B795:B801))</f>
        <v/>
      </c>
      <c r="F801" s="36">
        <f>IF(B801="","",B801-Settings!$B$4)</f>
        <v/>
      </c>
    </row>
    <row r="802">
      <c r="A802" s="35" t="n"/>
      <c r="B802" s="30" t="n"/>
      <c r="C802" s="36">
        <f>IF(OR(B802="",B801=""),"",B802-B801)</f>
        <v/>
      </c>
      <c r="D802" s="21">
        <f>IF(B802="","",B802/Settings!$B$3^2)</f>
        <v/>
      </c>
      <c r="E802" s="21">
        <f>IF(B802="","",AVERAGE(B796:B802))</f>
        <v/>
      </c>
      <c r="F802" s="36">
        <f>IF(B802="","",B802-Settings!$B$4)</f>
        <v/>
      </c>
    </row>
    <row r="803">
      <c r="A803" s="35" t="n"/>
      <c r="B803" s="30" t="n"/>
      <c r="C803" s="36">
        <f>IF(OR(B803="",B802=""),"",B803-B802)</f>
        <v/>
      </c>
      <c r="D803" s="21">
        <f>IF(B803="","",B803/Settings!$B$3^2)</f>
        <v/>
      </c>
      <c r="E803" s="21">
        <f>IF(B803="","",AVERAGE(B797:B803))</f>
        <v/>
      </c>
      <c r="F803" s="36">
        <f>IF(B803="","",B803-Settings!$B$4)</f>
        <v/>
      </c>
    </row>
    <row r="804">
      <c r="A804" s="35" t="n"/>
      <c r="B804" s="30" t="n"/>
      <c r="C804" s="36">
        <f>IF(OR(B804="",B803=""),"",B804-B803)</f>
        <v/>
      </c>
      <c r="D804" s="21">
        <f>IF(B804="","",B804/Settings!$B$3^2)</f>
        <v/>
      </c>
      <c r="E804" s="21">
        <f>IF(B804="","",AVERAGE(B798:B804))</f>
        <v/>
      </c>
      <c r="F804" s="36">
        <f>IF(B804="","",B804-Settings!$B$4)</f>
        <v/>
      </c>
    </row>
    <row r="805">
      <c r="A805" s="35" t="n"/>
      <c r="B805" s="30" t="n"/>
      <c r="C805" s="36">
        <f>IF(OR(B805="",B804=""),"",B805-B804)</f>
        <v/>
      </c>
      <c r="D805" s="21">
        <f>IF(B805="","",B805/Settings!$B$3^2)</f>
        <v/>
      </c>
      <c r="E805" s="21">
        <f>IF(B805="","",AVERAGE(B799:B805))</f>
        <v/>
      </c>
      <c r="F805" s="36">
        <f>IF(B805="","",B805-Settings!$B$4)</f>
        <v/>
      </c>
    </row>
    <row r="806">
      <c r="A806" s="35" t="n"/>
      <c r="B806" s="30" t="n"/>
      <c r="C806" s="36">
        <f>IF(OR(B806="",B805=""),"",B806-B805)</f>
        <v/>
      </c>
      <c r="D806" s="21">
        <f>IF(B806="","",B806/Settings!$B$3^2)</f>
        <v/>
      </c>
      <c r="E806" s="21">
        <f>IF(B806="","",AVERAGE(B800:B806))</f>
        <v/>
      </c>
      <c r="F806" s="36">
        <f>IF(B806="","",B806-Settings!$B$4)</f>
        <v/>
      </c>
    </row>
    <row r="807">
      <c r="A807" s="35" t="n"/>
      <c r="B807" s="30" t="n"/>
      <c r="C807" s="36">
        <f>IF(OR(B807="",B806=""),"",B807-B806)</f>
        <v/>
      </c>
      <c r="D807" s="21">
        <f>IF(B807="","",B807/Settings!$B$3^2)</f>
        <v/>
      </c>
      <c r="E807" s="21">
        <f>IF(B807="","",AVERAGE(B801:B807))</f>
        <v/>
      </c>
      <c r="F807" s="36">
        <f>IF(B807="","",B807-Settings!$B$4)</f>
        <v/>
      </c>
    </row>
    <row r="808">
      <c r="A808" s="35" t="n"/>
      <c r="B808" s="30" t="n"/>
      <c r="C808" s="36">
        <f>IF(OR(B808="",B807=""),"",B808-B807)</f>
        <v/>
      </c>
      <c r="D808" s="21">
        <f>IF(B808="","",B808/Settings!$B$3^2)</f>
        <v/>
      </c>
      <c r="E808" s="21">
        <f>IF(B808="","",AVERAGE(B802:B808))</f>
        <v/>
      </c>
      <c r="F808" s="36">
        <f>IF(B808="","",B808-Settings!$B$4)</f>
        <v/>
      </c>
    </row>
    <row r="809">
      <c r="A809" s="35" t="n"/>
      <c r="B809" s="30" t="n"/>
      <c r="C809" s="36">
        <f>IF(OR(B809="",B808=""),"",B809-B808)</f>
        <v/>
      </c>
      <c r="D809" s="21">
        <f>IF(B809="","",B809/Settings!$B$3^2)</f>
        <v/>
      </c>
      <c r="E809" s="21">
        <f>IF(B809="","",AVERAGE(B803:B809))</f>
        <v/>
      </c>
      <c r="F809" s="36">
        <f>IF(B809="","",B809-Settings!$B$4)</f>
        <v/>
      </c>
    </row>
    <row r="810">
      <c r="A810" s="35" t="n"/>
      <c r="B810" s="30" t="n"/>
      <c r="C810" s="36">
        <f>IF(OR(B810="",B809=""),"",B810-B809)</f>
        <v/>
      </c>
      <c r="D810" s="21">
        <f>IF(B810="","",B810/Settings!$B$3^2)</f>
        <v/>
      </c>
      <c r="E810" s="21">
        <f>IF(B810="","",AVERAGE(B804:B810))</f>
        <v/>
      </c>
      <c r="F810" s="36">
        <f>IF(B810="","",B810-Settings!$B$4)</f>
        <v/>
      </c>
    </row>
    <row r="811">
      <c r="A811" s="35" t="n"/>
      <c r="B811" s="30" t="n"/>
      <c r="C811" s="36">
        <f>IF(OR(B811="",B810=""),"",B811-B810)</f>
        <v/>
      </c>
      <c r="D811" s="21">
        <f>IF(B811="","",B811/Settings!$B$3^2)</f>
        <v/>
      </c>
      <c r="E811" s="21">
        <f>IF(B811="","",AVERAGE(B805:B811))</f>
        <v/>
      </c>
      <c r="F811" s="36">
        <f>IF(B811="","",B811-Settings!$B$4)</f>
        <v/>
      </c>
    </row>
    <row r="812">
      <c r="A812" s="35" t="n"/>
      <c r="B812" s="30" t="n"/>
      <c r="C812" s="36">
        <f>IF(OR(B812="",B811=""),"",B812-B811)</f>
        <v/>
      </c>
      <c r="D812" s="21">
        <f>IF(B812="","",B812/Settings!$B$3^2)</f>
        <v/>
      </c>
      <c r="E812" s="21">
        <f>IF(B812="","",AVERAGE(B806:B812))</f>
        <v/>
      </c>
      <c r="F812" s="36">
        <f>IF(B812="","",B812-Settings!$B$4)</f>
        <v/>
      </c>
    </row>
    <row r="813">
      <c r="A813" s="35" t="n"/>
      <c r="B813" s="30" t="n"/>
      <c r="C813" s="36">
        <f>IF(OR(B813="",B812=""),"",B813-B812)</f>
        <v/>
      </c>
      <c r="D813" s="21">
        <f>IF(B813="","",B813/Settings!$B$3^2)</f>
        <v/>
      </c>
      <c r="E813" s="21">
        <f>IF(B813="","",AVERAGE(B807:B813))</f>
        <v/>
      </c>
      <c r="F813" s="36">
        <f>IF(B813="","",B813-Settings!$B$4)</f>
        <v/>
      </c>
    </row>
    <row r="814">
      <c r="A814" s="35" t="n"/>
      <c r="B814" s="30" t="n"/>
      <c r="C814" s="36">
        <f>IF(OR(B814="",B813=""),"",B814-B813)</f>
        <v/>
      </c>
      <c r="D814" s="21">
        <f>IF(B814="","",B814/Settings!$B$3^2)</f>
        <v/>
      </c>
      <c r="E814" s="21">
        <f>IF(B814="","",AVERAGE(B808:B814))</f>
        <v/>
      </c>
      <c r="F814" s="36">
        <f>IF(B814="","",B814-Settings!$B$4)</f>
        <v/>
      </c>
    </row>
    <row r="815">
      <c r="A815" s="35" t="n"/>
      <c r="B815" s="30" t="n"/>
      <c r="C815" s="36">
        <f>IF(OR(B815="",B814=""),"",B815-B814)</f>
        <v/>
      </c>
      <c r="D815" s="21">
        <f>IF(B815="","",B815/Settings!$B$3^2)</f>
        <v/>
      </c>
      <c r="E815" s="21">
        <f>IF(B815="","",AVERAGE(B809:B815))</f>
        <v/>
      </c>
      <c r="F815" s="36">
        <f>IF(B815="","",B815-Settings!$B$4)</f>
        <v/>
      </c>
    </row>
    <row r="816">
      <c r="A816" s="35" t="n"/>
      <c r="B816" s="30" t="n"/>
      <c r="C816" s="36">
        <f>IF(OR(B816="",B815=""),"",B816-B815)</f>
        <v/>
      </c>
      <c r="D816" s="21">
        <f>IF(B816="","",B816/Settings!$B$3^2)</f>
        <v/>
      </c>
      <c r="E816" s="21">
        <f>IF(B816="","",AVERAGE(B810:B816))</f>
        <v/>
      </c>
      <c r="F816" s="36">
        <f>IF(B816="","",B816-Settings!$B$4)</f>
        <v/>
      </c>
    </row>
    <row r="817">
      <c r="A817" s="35" t="n"/>
      <c r="B817" s="30" t="n"/>
      <c r="C817" s="36">
        <f>IF(OR(B817="",B816=""),"",B817-B816)</f>
        <v/>
      </c>
      <c r="D817" s="21">
        <f>IF(B817="","",B817/Settings!$B$3^2)</f>
        <v/>
      </c>
      <c r="E817" s="21">
        <f>IF(B817="","",AVERAGE(B811:B817))</f>
        <v/>
      </c>
      <c r="F817" s="36">
        <f>IF(B817="","",B817-Settings!$B$4)</f>
        <v/>
      </c>
    </row>
    <row r="818">
      <c r="A818" s="35" t="n"/>
      <c r="B818" s="30" t="n"/>
      <c r="C818" s="36">
        <f>IF(OR(B818="",B817=""),"",B818-B817)</f>
        <v/>
      </c>
      <c r="D818" s="21">
        <f>IF(B818="","",B818/Settings!$B$3^2)</f>
        <v/>
      </c>
      <c r="E818" s="21">
        <f>IF(B818="","",AVERAGE(B812:B818))</f>
        <v/>
      </c>
      <c r="F818" s="36">
        <f>IF(B818="","",B818-Settings!$B$4)</f>
        <v/>
      </c>
    </row>
    <row r="819">
      <c r="A819" s="35" t="n"/>
      <c r="B819" s="30" t="n"/>
      <c r="C819" s="36">
        <f>IF(OR(B819="",B818=""),"",B819-B818)</f>
        <v/>
      </c>
      <c r="D819" s="21">
        <f>IF(B819="","",B819/Settings!$B$3^2)</f>
        <v/>
      </c>
      <c r="E819" s="21">
        <f>IF(B819="","",AVERAGE(B813:B819))</f>
        <v/>
      </c>
      <c r="F819" s="36">
        <f>IF(B819="","",B819-Settings!$B$4)</f>
        <v/>
      </c>
    </row>
    <row r="820">
      <c r="A820" s="35" t="n"/>
      <c r="B820" s="30" t="n"/>
      <c r="C820" s="36">
        <f>IF(OR(B820="",B819=""),"",B820-B819)</f>
        <v/>
      </c>
      <c r="D820" s="21">
        <f>IF(B820="","",B820/Settings!$B$3^2)</f>
        <v/>
      </c>
      <c r="E820" s="21">
        <f>IF(B820="","",AVERAGE(B814:B820))</f>
        <v/>
      </c>
      <c r="F820" s="36">
        <f>IF(B820="","",B820-Settings!$B$4)</f>
        <v/>
      </c>
    </row>
    <row r="821">
      <c r="A821" s="35" t="n"/>
      <c r="B821" s="30" t="n"/>
      <c r="C821" s="36">
        <f>IF(OR(B821="",B820=""),"",B821-B820)</f>
        <v/>
      </c>
      <c r="D821" s="21">
        <f>IF(B821="","",B821/Settings!$B$3^2)</f>
        <v/>
      </c>
      <c r="E821" s="21">
        <f>IF(B821="","",AVERAGE(B815:B821))</f>
        <v/>
      </c>
      <c r="F821" s="36">
        <f>IF(B821="","",B821-Settings!$B$4)</f>
        <v/>
      </c>
    </row>
    <row r="822">
      <c r="A822" s="35" t="n"/>
      <c r="B822" s="30" t="n"/>
      <c r="C822" s="36">
        <f>IF(OR(B822="",B821=""),"",B822-B821)</f>
        <v/>
      </c>
      <c r="D822" s="21">
        <f>IF(B822="","",B822/Settings!$B$3^2)</f>
        <v/>
      </c>
      <c r="E822" s="21">
        <f>IF(B822="","",AVERAGE(B816:B822))</f>
        <v/>
      </c>
      <c r="F822" s="36">
        <f>IF(B822="","",B822-Settings!$B$4)</f>
        <v/>
      </c>
    </row>
    <row r="823">
      <c r="A823" s="35" t="n"/>
      <c r="B823" s="30" t="n"/>
      <c r="C823" s="36">
        <f>IF(OR(B823="",B822=""),"",B823-B822)</f>
        <v/>
      </c>
      <c r="D823" s="21">
        <f>IF(B823="","",B823/Settings!$B$3^2)</f>
        <v/>
      </c>
      <c r="E823" s="21">
        <f>IF(B823="","",AVERAGE(B817:B823))</f>
        <v/>
      </c>
      <c r="F823" s="36">
        <f>IF(B823="","",B823-Settings!$B$4)</f>
        <v/>
      </c>
    </row>
    <row r="824">
      <c r="A824" s="35" t="n"/>
      <c r="B824" s="30" t="n"/>
      <c r="C824" s="36">
        <f>IF(OR(B824="",B823=""),"",B824-B823)</f>
        <v/>
      </c>
      <c r="D824" s="21">
        <f>IF(B824="","",B824/Settings!$B$3^2)</f>
        <v/>
      </c>
      <c r="E824" s="21">
        <f>IF(B824="","",AVERAGE(B818:B824))</f>
        <v/>
      </c>
      <c r="F824" s="36">
        <f>IF(B824="","",B824-Settings!$B$4)</f>
        <v/>
      </c>
    </row>
    <row r="825">
      <c r="A825" s="35" t="n"/>
      <c r="B825" s="30" t="n"/>
      <c r="C825" s="36">
        <f>IF(OR(B825="",B824=""),"",B825-B824)</f>
        <v/>
      </c>
      <c r="D825" s="21">
        <f>IF(B825="","",B825/Settings!$B$3^2)</f>
        <v/>
      </c>
      <c r="E825" s="21">
        <f>IF(B825="","",AVERAGE(B819:B825))</f>
        <v/>
      </c>
      <c r="F825" s="36">
        <f>IF(B825="","",B825-Settings!$B$4)</f>
        <v/>
      </c>
    </row>
    <row r="826">
      <c r="A826" s="35" t="n"/>
      <c r="B826" s="30" t="n"/>
      <c r="C826" s="36">
        <f>IF(OR(B826="",B825=""),"",B826-B825)</f>
        <v/>
      </c>
      <c r="D826" s="21">
        <f>IF(B826="","",B826/Settings!$B$3^2)</f>
        <v/>
      </c>
      <c r="E826" s="21">
        <f>IF(B826="","",AVERAGE(B820:B826))</f>
        <v/>
      </c>
      <c r="F826" s="36">
        <f>IF(B826="","",B826-Settings!$B$4)</f>
        <v/>
      </c>
    </row>
    <row r="827">
      <c r="A827" s="35" t="n"/>
      <c r="B827" s="30" t="n"/>
      <c r="C827" s="36">
        <f>IF(OR(B827="",B826=""),"",B827-B826)</f>
        <v/>
      </c>
      <c r="D827" s="21">
        <f>IF(B827="","",B827/Settings!$B$3^2)</f>
        <v/>
      </c>
      <c r="E827" s="21">
        <f>IF(B827="","",AVERAGE(B821:B827))</f>
        <v/>
      </c>
      <c r="F827" s="36">
        <f>IF(B827="","",B827-Settings!$B$4)</f>
        <v/>
      </c>
    </row>
    <row r="828">
      <c r="A828" s="35" t="n"/>
      <c r="B828" s="30" t="n"/>
      <c r="C828" s="36">
        <f>IF(OR(B828="",B827=""),"",B828-B827)</f>
        <v/>
      </c>
      <c r="D828" s="21">
        <f>IF(B828="","",B828/Settings!$B$3^2)</f>
        <v/>
      </c>
      <c r="E828" s="21">
        <f>IF(B828="","",AVERAGE(B822:B828))</f>
        <v/>
      </c>
      <c r="F828" s="36">
        <f>IF(B828="","",B828-Settings!$B$4)</f>
        <v/>
      </c>
    </row>
    <row r="829">
      <c r="A829" s="35" t="n"/>
      <c r="B829" s="30" t="n"/>
      <c r="C829" s="36">
        <f>IF(OR(B829="",B828=""),"",B829-B828)</f>
        <v/>
      </c>
      <c r="D829" s="21">
        <f>IF(B829="","",B829/Settings!$B$3^2)</f>
        <v/>
      </c>
      <c r="E829" s="21">
        <f>IF(B829="","",AVERAGE(B823:B829))</f>
        <v/>
      </c>
      <c r="F829" s="36">
        <f>IF(B829="","",B829-Settings!$B$4)</f>
        <v/>
      </c>
    </row>
    <row r="830">
      <c r="A830" s="35" t="n"/>
      <c r="B830" s="30" t="n"/>
      <c r="C830" s="36">
        <f>IF(OR(B830="",B829=""),"",B830-B829)</f>
        <v/>
      </c>
      <c r="D830" s="21">
        <f>IF(B830="","",B830/Settings!$B$3^2)</f>
        <v/>
      </c>
      <c r="E830" s="21">
        <f>IF(B830="","",AVERAGE(B824:B830))</f>
        <v/>
      </c>
      <c r="F830" s="36">
        <f>IF(B830="","",B830-Settings!$B$4)</f>
        <v/>
      </c>
    </row>
    <row r="831">
      <c r="A831" s="35" t="n"/>
      <c r="B831" s="30" t="n"/>
      <c r="C831" s="36">
        <f>IF(OR(B831="",B830=""),"",B831-B830)</f>
        <v/>
      </c>
      <c r="D831" s="21">
        <f>IF(B831="","",B831/Settings!$B$3^2)</f>
        <v/>
      </c>
      <c r="E831" s="21">
        <f>IF(B831="","",AVERAGE(B825:B831))</f>
        <v/>
      </c>
      <c r="F831" s="36">
        <f>IF(B831="","",B831-Settings!$B$4)</f>
        <v/>
      </c>
    </row>
    <row r="832">
      <c r="A832" s="35" t="n"/>
      <c r="B832" s="30" t="n"/>
      <c r="C832" s="36">
        <f>IF(OR(B832="",B831=""),"",B832-B831)</f>
        <v/>
      </c>
      <c r="D832" s="21">
        <f>IF(B832="","",B832/Settings!$B$3^2)</f>
        <v/>
      </c>
      <c r="E832" s="21">
        <f>IF(B832="","",AVERAGE(B826:B832))</f>
        <v/>
      </c>
      <c r="F832" s="36">
        <f>IF(B832="","",B832-Settings!$B$4)</f>
        <v/>
      </c>
    </row>
    <row r="833">
      <c r="A833" s="35" t="n"/>
      <c r="B833" s="30" t="n"/>
      <c r="C833" s="36">
        <f>IF(OR(B833="",B832=""),"",B833-B832)</f>
        <v/>
      </c>
      <c r="D833" s="21">
        <f>IF(B833="","",B833/Settings!$B$3^2)</f>
        <v/>
      </c>
      <c r="E833" s="21">
        <f>IF(B833="","",AVERAGE(B827:B833))</f>
        <v/>
      </c>
      <c r="F833" s="36">
        <f>IF(B833="","",B833-Settings!$B$4)</f>
        <v/>
      </c>
    </row>
    <row r="834">
      <c r="A834" s="35" t="n"/>
      <c r="B834" s="30" t="n"/>
      <c r="C834" s="36">
        <f>IF(OR(B834="",B833=""),"",B834-B833)</f>
        <v/>
      </c>
      <c r="D834" s="21">
        <f>IF(B834="","",B834/Settings!$B$3^2)</f>
        <v/>
      </c>
      <c r="E834" s="21">
        <f>IF(B834="","",AVERAGE(B828:B834))</f>
        <v/>
      </c>
      <c r="F834" s="36">
        <f>IF(B834="","",B834-Settings!$B$4)</f>
        <v/>
      </c>
    </row>
    <row r="835">
      <c r="A835" s="35" t="n"/>
      <c r="B835" s="30" t="n"/>
      <c r="C835" s="36">
        <f>IF(OR(B835="",B834=""),"",B835-B834)</f>
        <v/>
      </c>
      <c r="D835" s="21">
        <f>IF(B835="","",B835/Settings!$B$3^2)</f>
        <v/>
      </c>
      <c r="E835" s="21">
        <f>IF(B835="","",AVERAGE(B829:B835))</f>
        <v/>
      </c>
      <c r="F835" s="36">
        <f>IF(B835="","",B835-Settings!$B$4)</f>
        <v/>
      </c>
    </row>
    <row r="836">
      <c r="A836" s="35" t="n"/>
      <c r="B836" s="30" t="n"/>
      <c r="C836" s="36">
        <f>IF(OR(B836="",B835=""),"",B836-B835)</f>
        <v/>
      </c>
      <c r="D836" s="21">
        <f>IF(B836="","",B836/Settings!$B$3^2)</f>
        <v/>
      </c>
      <c r="E836" s="21">
        <f>IF(B836="","",AVERAGE(B830:B836))</f>
        <v/>
      </c>
      <c r="F836" s="36">
        <f>IF(B836="","",B836-Settings!$B$4)</f>
        <v/>
      </c>
    </row>
    <row r="837">
      <c r="A837" s="35" t="n"/>
      <c r="B837" s="30" t="n"/>
      <c r="C837" s="36">
        <f>IF(OR(B837="",B836=""),"",B837-B836)</f>
        <v/>
      </c>
      <c r="D837" s="21">
        <f>IF(B837="","",B837/Settings!$B$3^2)</f>
        <v/>
      </c>
      <c r="E837" s="21">
        <f>IF(B837="","",AVERAGE(B831:B837))</f>
        <v/>
      </c>
      <c r="F837" s="36">
        <f>IF(B837="","",B837-Settings!$B$4)</f>
        <v/>
      </c>
    </row>
    <row r="838">
      <c r="A838" s="35" t="n"/>
      <c r="B838" s="30" t="n"/>
      <c r="C838" s="36">
        <f>IF(OR(B838="",B837=""),"",B838-B837)</f>
        <v/>
      </c>
      <c r="D838" s="21">
        <f>IF(B838="","",B838/Settings!$B$3^2)</f>
        <v/>
      </c>
      <c r="E838" s="21">
        <f>IF(B838="","",AVERAGE(B832:B838))</f>
        <v/>
      </c>
      <c r="F838" s="36">
        <f>IF(B838="","",B838-Settings!$B$4)</f>
        <v/>
      </c>
    </row>
    <row r="839">
      <c r="A839" s="35" t="n"/>
      <c r="B839" s="30" t="n"/>
      <c r="C839" s="36">
        <f>IF(OR(B839="",B838=""),"",B839-B838)</f>
        <v/>
      </c>
      <c r="D839" s="21">
        <f>IF(B839="","",B839/Settings!$B$3^2)</f>
        <v/>
      </c>
      <c r="E839" s="21">
        <f>IF(B839="","",AVERAGE(B833:B839))</f>
        <v/>
      </c>
      <c r="F839" s="36">
        <f>IF(B839="","",B839-Settings!$B$4)</f>
        <v/>
      </c>
    </row>
    <row r="840">
      <c r="A840" s="35" t="n"/>
      <c r="B840" s="30" t="n"/>
      <c r="C840" s="36">
        <f>IF(OR(B840="",B839=""),"",B840-B839)</f>
        <v/>
      </c>
      <c r="D840" s="21">
        <f>IF(B840="","",B840/Settings!$B$3^2)</f>
        <v/>
      </c>
      <c r="E840" s="21">
        <f>IF(B840="","",AVERAGE(B834:B840))</f>
        <v/>
      </c>
      <c r="F840" s="36">
        <f>IF(B840="","",B840-Settings!$B$4)</f>
        <v/>
      </c>
    </row>
    <row r="841">
      <c r="A841" s="35" t="n"/>
      <c r="B841" s="30" t="n"/>
      <c r="C841" s="36">
        <f>IF(OR(B841="",B840=""),"",B841-B840)</f>
        <v/>
      </c>
      <c r="D841" s="21">
        <f>IF(B841="","",B841/Settings!$B$3^2)</f>
        <v/>
      </c>
      <c r="E841" s="21">
        <f>IF(B841="","",AVERAGE(B835:B841))</f>
        <v/>
      </c>
      <c r="F841" s="36">
        <f>IF(B841="","",B841-Settings!$B$4)</f>
        <v/>
      </c>
    </row>
    <row r="842">
      <c r="A842" s="35" t="n"/>
      <c r="B842" s="30" t="n"/>
      <c r="C842" s="36">
        <f>IF(OR(B842="",B841=""),"",B842-B841)</f>
        <v/>
      </c>
      <c r="D842" s="21">
        <f>IF(B842="","",B842/Settings!$B$3^2)</f>
        <v/>
      </c>
      <c r="E842" s="21">
        <f>IF(B842="","",AVERAGE(B836:B842))</f>
        <v/>
      </c>
      <c r="F842" s="36">
        <f>IF(B842="","",B842-Settings!$B$4)</f>
        <v/>
      </c>
    </row>
    <row r="843">
      <c r="A843" s="35" t="n"/>
      <c r="B843" s="30" t="n"/>
      <c r="C843" s="36">
        <f>IF(OR(B843="",B842=""),"",B843-B842)</f>
        <v/>
      </c>
      <c r="D843" s="21">
        <f>IF(B843="","",B843/Settings!$B$3^2)</f>
        <v/>
      </c>
      <c r="E843" s="21">
        <f>IF(B843="","",AVERAGE(B837:B843))</f>
        <v/>
      </c>
      <c r="F843" s="36">
        <f>IF(B843="","",B843-Settings!$B$4)</f>
        <v/>
      </c>
    </row>
    <row r="844">
      <c r="A844" s="35" t="n"/>
      <c r="B844" s="30" t="n"/>
      <c r="C844" s="36">
        <f>IF(OR(B844="",B843=""),"",B844-B843)</f>
        <v/>
      </c>
      <c r="D844" s="21">
        <f>IF(B844="","",B844/Settings!$B$3^2)</f>
        <v/>
      </c>
      <c r="E844" s="21">
        <f>IF(B844="","",AVERAGE(B838:B844))</f>
        <v/>
      </c>
      <c r="F844" s="36">
        <f>IF(B844="","",B844-Settings!$B$4)</f>
        <v/>
      </c>
    </row>
    <row r="845">
      <c r="A845" s="35" t="n"/>
      <c r="B845" s="30" t="n"/>
      <c r="C845" s="36">
        <f>IF(OR(B845="",B844=""),"",B845-B844)</f>
        <v/>
      </c>
      <c r="D845" s="21">
        <f>IF(B845="","",B845/Settings!$B$3^2)</f>
        <v/>
      </c>
      <c r="E845" s="21">
        <f>IF(B845="","",AVERAGE(B839:B845))</f>
        <v/>
      </c>
      <c r="F845" s="36">
        <f>IF(B845="","",B845-Settings!$B$4)</f>
        <v/>
      </c>
    </row>
    <row r="846">
      <c r="A846" s="35" t="n"/>
      <c r="B846" s="30" t="n"/>
      <c r="C846" s="36">
        <f>IF(OR(B846="",B845=""),"",B846-B845)</f>
        <v/>
      </c>
      <c r="D846" s="21">
        <f>IF(B846="","",B846/Settings!$B$3^2)</f>
        <v/>
      </c>
      <c r="E846" s="21">
        <f>IF(B846="","",AVERAGE(B840:B846))</f>
        <v/>
      </c>
      <c r="F846" s="36">
        <f>IF(B846="","",B846-Settings!$B$4)</f>
        <v/>
      </c>
    </row>
    <row r="847">
      <c r="A847" s="35" t="n"/>
      <c r="B847" s="30" t="n"/>
      <c r="C847" s="36">
        <f>IF(OR(B847="",B846=""),"",B847-B846)</f>
        <v/>
      </c>
      <c r="D847" s="21">
        <f>IF(B847="","",B847/Settings!$B$3^2)</f>
        <v/>
      </c>
      <c r="E847" s="21">
        <f>IF(B847="","",AVERAGE(B841:B847))</f>
        <v/>
      </c>
      <c r="F847" s="36">
        <f>IF(B847="","",B847-Settings!$B$4)</f>
        <v/>
      </c>
    </row>
    <row r="848">
      <c r="A848" s="35" t="n"/>
      <c r="B848" s="30" t="n"/>
      <c r="C848" s="36">
        <f>IF(OR(B848="",B847=""),"",B848-B847)</f>
        <v/>
      </c>
      <c r="D848" s="21">
        <f>IF(B848="","",B848/Settings!$B$3^2)</f>
        <v/>
      </c>
      <c r="E848" s="21">
        <f>IF(B848="","",AVERAGE(B842:B848))</f>
        <v/>
      </c>
      <c r="F848" s="36">
        <f>IF(B848="","",B848-Settings!$B$4)</f>
        <v/>
      </c>
    </row>
    <row r="849">
      <c r="A849" s="35" t="n"/>
      <c r="B849" s="30" t="n"/>
      <c r="C849" s="36">
        <f>IF(OR(B849="",B848=""),"",B849-B848)</f>
        <v/>
      </c>
      <c r="D849" s="21">
        <f>IF(B849="","",B849/Settings!$B$3^2)</f>
        <v/>
      </c>
      <c r="E849" s="21">
        <f>IF(B849="","",AVERAGE(B843:B849))</f>
        <v/>
      </c>
      <c r="F849" s="36">
        <f>IF(B849="","",B849-Settings!$B$4)</f>
        <v/>
      </c>
    </row>
    <row r="850">
      <c r="A850" s="35" t="n"/>
      <c r="B850" s="30" t="n"/>
      <c r="C850" s="36">
        <f>IF(OR(B850="",B849=""),"",B850-B849)</f>
        <v/>
      </c>
      <c r="D850" s="21">
        <f>IF(B850="","",B850/Settings!$B$3^2)</f>
        <v/>
      </c>
      <c r="E850" s="21">
        <f>IF(B850="","",AVERAGE(B844:B850))</f>
        <v/>
      </c>
      <c r="F850" s="36">
        <f>IF(B850="","",B850-Settings!$B$4)</f>
        <v/>
      </c>
    </row>
    <row r="851">
      <c r="A851" s="35" t="n"/>
      <c r="B851" s="30" t="n"/>
      <c r="C851" s="36">
        <f>IF(OR(B851="",B850=""),"",B851-B850)</f>
        <v/>
      </c>
      <c r="D851" s="21">
        <f>IF(B851="","",B851/Settings!$B$3^2)</f>
        <v/>
      </c>
      <c r="E851" s="21">
        <f>IF(B851="","",AVERAGE(B845:B851))</f>
        <v/>
      </c>
      <c r="F851" s="36">
        <f>IF(B851="","",B851-Settings!$B$4)</f>
        <v/>
      </c>
    </row>
    <row r="852">
      <c r="A852" s="35" t="n"/>
      <c r="B852" s="30" t="n"/>
      <c r="C852" s="36">
        <f>IF(OR(B852="",B851=""),"",B852-B851)</f>
        <v/>
      </c>
      <c r="D852" s="21">
        <f>IF(B852="","",B852/Settings!$B$3^2)</f>
        <v/>
      </c>
      <c r="E852" s="21">
        <f>IF(B852="","",AVERAGE(B846:B852))</f>
        <v/>
      </c>
      <c r="F852" s="36">
        <f>IF(B852="","",B852-Settings!$B$4)</f>
        <v/>
      </c>
    </row>
    <row r="853">
      <c r="A853" s="35" t="n"/>
      <c r="B853" s="30" t="n"/>
      <c r="C853" s="36">
        <f>IF(OR(B853="",B852=""),"",B853-B852)</f>
        <v/>
      </c>
      <c r="D853" s="21">
        <f>IF(B853="","",B853/Settings!$B$3^2)</f>
        <v/>
      </c>
      <c r="E853" s="21">
        <f>IF(B853="","",AVERAGE(B847:B853))</f>
        <v/>
      </c>
      <c r="F853" s="36">
        <f>IF(B853="","",B853-Settings!$B$4)</f>
        <v/>
      </c>
    </row>
    <row r="854">
      <c r="A854" s="35" t="n"/>
      <c r="B854" s="30" t="n"/>
      <c r="C854" s="36">
        <f>IF(OR(B854="",B853=""),"",B854-B853)</f>
        <v/>
      </c>
      <c r="D854" s="21">
        <f>IF(B854="","",B854/Settings!$B$3^2)</f>
        <v/>
      </c>
      <c r="E854" s="21">
        <f>IF(B854="","",AVERAGE(B848:B854))</f>
        <v/>
      </c>
      <c r="F854" s="36">
        <f>IF(B854="","",B854-Settings!$B$4)</f>
        <v/>
      </c>
    </row>
    <row r="855">
      <c r="A855" s="35" t="n"/>
      <c r="B855" s="30" t="n"/>
      <c r="C855" s="36">
        <f>IF(OR(B855="",B854=""),"",B855-B854)</f>
        <v/>
      </c>
      <c r="D855" s="21">
        <f>IF(B855="","",B855/Settings!$B$3^2)</f>
        <v/>
      </c>
      <c r="E855" s="21">
        <f>IF(B855="","",AVERAGE(B849:B855))</f>
        <v/>
      </c>
      <c r="F855" s="36">
        <f>IF(B855="","",B855-Settings!$B$4)</f>
        <v/>
      </c>
    </row>
    <row r="856">
      <c r="A856" s="35" t="n"/>
      <c r="B856" s="30" t="n"/>
      <c r="C856" s="36">
        <f>IF(OR(B856="",B855=""),"",B856-B855)</f>
        <v/>
      </c>
      <c r="D856" s="21">
        <f>IF(B856="","",B856/Settings!$B$3^2)</f>
        <v/>
      </c>
      <c r="E856" s="21">
        <f>IF(B856="","",AVERAGE(B850:B856))</f>
        <v/>
      </c>
      <c r="F856" s="36">
        <f>IF(B856="","",B856-Settings!$B$4)</f>
        <v/>
      </c>
    </row>
    <row r="857">
      <c r="A857" s="35" t="n"/>
      <c r="B857" s="30" t="n"/>
      <c r="C857" s="36">
        <f>IF(OR(B857="",B856=""),"",B857-B856)</f>
        <v/>
      </c>
      <c r="D857" s="21">
        <f>IF(B857="","",B857/Settings!$B$3^2)</f>
        <v/>
      </c>
      <c r="E857" s="21">
        <f>IF(B857="","",AVERAGE(B851:B857))</f>
        <v/>
      </c>
      <c r="F857" s="36">
        <f>IF(B857="","",B857-Settings!$B$4)</f>
        <v/>
      </c>
    </row>
    <row r="858">
      <c r="A858" s="35" t="n"/>
      <c r="B858" s="30" t="n"/>
      <c r="C858" s="36">
        <f>IF(OR(B858="",B857=""),"",B858-B857)</f>
        <v/>
      </c>
      <c r="D858" s="21">
        <f>IF(B858="","",B858/Settings!$B$3^2)</f>
        <v/>
      </c>
      <c r="E858" s="21">
        <f>IF(B858="","",AVERAGE(B852:B858))</f>
        <v/>
      </c>
      <c r="F858" s="36">
        <f>IF(B858="","",B858-Settings!$B$4)</f>
        <v/>
      </c>
    </row>
    <row r="859">
      <c r="A859" s="35" t="n"/>
      <c r="B859" s="30" t="n"/>
      <c r="C859" s="36">
        <f>IF(OR(B859="",B858=""),"",B859-B858)</f>
        <v/>
      </c>
      <c r="D859" s="21">
        <f>IF(B859="","",B859/Settings!$B$3^2)</f>
        <v/>
      </c>
      <c r="E859" s="21">
        <f>IF(B859="","",AVERAGE(B853:B859))</f>
        <v/>
      </c>
      <c r="F859" s="36">
        <f>IF(B859="","",B859-Settings!$B$4)</f>
        <v/>
      </c>
    </row>
    <row r="860">
      <c r="A860" s="35" t="n"/>
      <c r="B860" s="30" t="n"/>
      <c r="C860" s="36">
        <f>IF(OR(B860="",B859=""),"",B860-B859)</f>
        <v/>
      </c>
      <c r="D860" s="21">
        <f>IF(B860="","",B860/Settings!$B$3^2)</f>
        <v/>
      </c>
      <c r="E860" s="21">
        <f>IF(B860="","",AVERAGE(B854:B860))</f>
        <v/>
      </c>
      <c r="F860" s="36">
        <f>IF(B860="","",B860-Settings!$B$4)</f>
        <v/>
      </c>
    </row>
    <row r="861">
      <c r="A861" s="35" t="n"/>
      <c r="B861" s="30" t="n"/>
      <c r="C861" s="36">
        <f>IF(OR(B861="",B860=""),"",B861-B860)</f>
        <v/>
      </c>
      <c r="D861" s="21">
        <f>IF(B861="","",B861/Settings!$B$3^2)</f>
        <v/>
      </c>
      <c r="E861" s="21">
        <f>IF(B861="","",AVERAGE(B855:B861))</f>
        <v/>
      </c>
      <c r="F861" s="36">
        <f>IF(B861="","",B861-Settings!$B$4)</f>
        <v/>
      </c>
    </row>
    <row r="862">
      <c r="A862" s="35" t="n"/>
      <c r="B862" s="30" t="n"/>
      <c r="C862" s="36">
        <f>IF(OR(B862="",B861=""),"",B862-B861)</f>
        <v/>
      </c>
      <c r="D862" s="21">
        <f>IF(B862="","",B862/Settings!$B$3^2)</f>
        <v/>
      </c>
      <c r="E862" s="21">
        <f>IF(B862="","",AVERAGE(B856:B862))</f>
        <v/>
      </c>
      <c r="F862" s="36">
        <f>IF(B862="","",B862-Settings!$B$4)</f>
        <v/>
      </c>
    </row>
    <row r="863">
      <c r="A863" s="35" t="n"/>
      <c r="B863" s="30" t="n"/>
      <c r="C863" s="36">
        <f>IF(OR(B863="",B862=""),"",B863-B862)</f>
        <v/>
      </c>
      <c r="D863" s="21">
        <f>IF(B863="","",B863/Settings!$B$3^2)</f>
        <v/>
      </c>
      <c r="E863" s="21">
        <f>IF(B863="","",AVERAGE(B857:B863))</f>
        <v/>
      </c>
      <c r="F863" s="36">
        <f>IF(B863="","",B863-Settings!$B$4)</f>
        <v/>
      </c>
    </row>
    <row r="864">
      <c r="A864" s="35" t="n"/>
      <c r="B864" s="30" t="n"/>
      <c r="C864" s="36">
        <f>IF(OR(B864="",B863=""),"",B864-B863)</f>
        <v/>
      </c>
      <c r="D864" s="21">
        <f>IF(B864="","",B864/Settings!$B$3^2)</f>
        <v/>
      </c>
      <c r="E864" s="21">
        <f>IF(B864="","",AVERAGE(B858:B864))</f>
        <v/>
      </c>
      <c r="F864" s="36">
        <f>IF(B864="","",B864-Settings!$B$4)</f>
        <v/>
      </c>
    </row>
    <row r="865">
      <c r="A865" s="35" t="n"/>
      <c r="B865" s="30" t="n"/>
      <c r="C865" s="36">
        <f>IF(OR(B865="",B864=""),"",B865-B864)</f>
        <v/>
      </c>
      <c r="D865" s="21">
        <f>IF(B865="","",B865/Settings!$B$3^2)</f>
        <v/>
      </c>
      <c r="E865" s="21">
        <f>IF(B865="","",AVERAGE(B859:B865))</f>
        <v/>
      </c>
      <c r="F865" s="36">
        <f>IF(B865="","",B865-Settings!$B$4)</f>
        <v/>
      </c>
    </row>
    <row r="866">
      <c r="A866" s="35" t="n"/>
      <c r="B866" s="30" t="n"/>
      <c r="C866" s="36">
        <f>IF(OR(B866="",B865=""),"",B866-B865)</f>
        <v/>
      </c>
      <c r="D866" s="21">
        <f>IF(B866="","",B866/Settings!$B$3^2)</f>
        <v/>
      </c>
      <c r="E866" s="21">
        <f>IF(B866="","",AVERAGE(B860:B866))</f>
        <v/>
      </c>
      <c r="F866" s="36">
        <f>IF(B866="","",B866-Settings!$B$4)</f>
        <v/>
      </c>
    </row>
    <row r="867">
      <c r="A867" s="35" t="n"/>
      <c r="B867" s="30" t="n"/>
      <c r="C867" s="36">
        <f>IF(OR(B867="",B866=""),"",B867-B866)</f>
        <v/>
      </c>
      <c r="D867" s="21">
        <f>IF(B867="","",B867/Settings!$B$3^2)</f>
        <v/>
      </c>
      <c r="E867" s="21">
        <f>IF(B867="","",AVERAGE(B861:B867))</f>
        <v/>
      </c>
      <c r="F867" s="36">
        <f>IF(B867="","",B867-Settings!$B$4)</f>
        <v/>
      </c>
    </row>
    <row r="868">
      <c r="A868" s="35" t="n"/>
      <c r="B868" s="30" t="n"/>
      <c r="C868" s="36">
        <f>IF(OR(B868="",B867=""),"",B868-B867)</f>
        <v/>
      </c>
      <c r="D868" s="21">
        <f>IF(B868="","",B868/Settings!$B$3^2)</f>
        <v/>
      </c>
      <c r="E868" s="21">
        <f>IF(B868="","",AVERAGE(B862:B868))</f>
        <v/>
      </c>
      <c r="F868" s="36">
        <f>IF(B868="","",B868-Settings!$B$4)</f>
        <v/>
      </c>
    </row>
    <row r="869">
      <c r="A869" s="35" t="n"/>
      <c r="B869" s="30" t="n"/>
      <c r="C869" s="36">
        <f>IF(OR(B869="",B868=""),"",B869-B868)</f>
        <v/>
      </c>
      <c r="D869" s="21">
        <f>IF(B869="","",B869/Settings!$B$3^2)</f>
        <v/>
      </c>
      <c r="E869" s="21">
        <f>IF(B869="","",AVERAGE(B863:B869))</f>
        <v/>
      </c>
      <c r="F869" s="36">
        <f>IF(B869="","",B869-Settings!$B$4)</f>
        <v/>
      </c>
    </row>
    <row r="870">
      <c r="A870" s="35" t="n"/>
      <c r="B870" s="30" t="n"/>
      <c r="C870" s="36">
        <f>IF(OR(B870="",B869=""),"",B870-B869)</f>
        <v/>
      </c>
      <c r="D870" s="21">
        <f>IF(B870="","",B870/Settings!$B$3^2)</f>
        <v/>
      </c>
      <c r="E870" s="21">
        <f>IF(B870="","",AVERAGE(B864:B870))</f>
        <v/>
      </c>
      <c r="F870" s="36">
        <f>IF(B870="","",B870-Settings!$B$4)</f>
        <v/>
      </c>
    </row>
    <row r="871">
      <c r="A871" s="35" t="n"/>
      <c r="B871" s="30" t="n"/>
      <c r="C871" s="36">
        <f>IF(OR(B871="",B870=""),"",B871-B870)</f>
        <v/>
      </c>
      <c r="D871" s="21">
        <f>IF(B871="","",B871/Settings!$B$3^2)</f>
        <v/>
      </c>
      <c r="E871" s="21">
        <f>IF(B871="","",AVERAGE(B865:B871))</f>
        <v/>
      </c>
      <c r="F871" s="36">
        <f>IF(B871="","",B871-Settings!$B$4)</f>
        <v/>
      </c>
    </row>
    <row r="872">
      <c r="A872" s="35" t="n"/>
      <c r="B872" s="30" t="n"/>
      <c r="C872" s="36">
        <f>IF(OR(B872="",B871=""),"",B872-B871)</f>
        <v/>
      </c>
      <c r="D872" s="21">
        <f>IF(B872="","",B872/Settings!$B$3^2)</f>
        <v/>
      </c>
      <c r="E872" s="21">
        <f>IF(B872="","",AVERAGE(B866:B872))</f>
        <v/>
      </c>
      <c r="F872" s="36">
        <f>IF(B872="","",B872-Settings!$B$4)</f>
        <v/>
      </c>
    </row>
    <row r="873">
      <c r="A873" s="35" t="n"/>
      <c r="B873" s="30" t="n"/>
      <c r="C873" s="36">
        <f>IF(OR(B873="",B872=""),"",B873-B872)</f>
        <v/>
      </c>
      <c r="D873" s="21">
        <f>IF(B873="","",B873/Settings!$B$3^2)</f>
        <v/>
      </c>
      <c r="E873" s="21">
        <f>IF(B873="","",AVERAGE(B867:B873))</f>
        <v/>
      </c>
      <c r="F873" s="36">
        <f>IF(B873="","",B873-Settings!$B$4)</f>
        <v/>
      </c>
    </row>
    <row r="874">
      <c r="A874" s="35" t="n"/>
      <c r="B874" s="30" t="n"/>
      <c r="C874" s="36">
        <f>IF(OR(B874="",B873=""),"",B874-B873)</f>
        <v/>
      </c>
      <c r="D874" s="21">
        <f>IF(B874="","",B874/Settings!$B$3^2)</f>
        <v/>
      </c>
      <c r="E874" s="21">
        <f>IF(B874="","",AVERAGE(B868:B874))</f>
        <v/>
      </c>
      <c r="F874" s="36">
        <f>IF(B874="","",B874-Settings!$B$4)</f>
        <v/>
      </c>
    </row>
    <row r="875">
      <c r="A875" s="35" t="n"/>
      <c r="B875" s="30" t="n"/>
      <c r="C875" s="36">
        <f>IF(OR(B875="",B874=""),"",B875-B874)</f>
        <v/>
      </c>
      <c r="D875" s="21">
        <f>IF(B875="","",B875/Settings!$B$3^2)</f>
        <v/>
      </c>
      <c r="E875" s="21">
        <f>IF(B875="","",AVERAGE(B869:B875))</f>
        <v/>
      </c>
      <c r="F875" s="36">
        <f>IF(B875="","",B875-Settings!$B$4)</f>
        <v/>
      </c>
    </row>
    <row r="876">
      <c r="A876" s="35" t="n"/>
      <c r="B876" s="30" t="n"/>
      <c r="C876" s="36">
        <f>IF(OR(B876="",B875=""),"",B876-B875)</f>
        <v/>
      </c>
      <c r="D876" s="21">
        <f>IF(B876="","",B876/Settings!$B$3^2)</f>
        <v/>
      </c>
      <c r="E876" s="21">
        <f>IF(B876="","",AVERAGE(B870:B876))</f>
        <v/>
      </c>
      <c r="F876" s="36">
        <f>IF(B876="","",B876-Settings!$B$4)</f>
        <v/>
      </c>
    </row>
    <row r="877">
      <c r="A877" s="35" t="n"/>
      <c r="B877" s="30" t="n"/>
      <c r="C877" s="36">
        <f>IF(OR(B877="",B876=""),"",B877-B876)</f>
        <v/>
      </c>
      <c r="D877" s="21">
        <f>IF(B877="","",B877/Settings!$B$3^2)</f>
        <v/>
      </c>
      <c r="E877" s="21">
        <f>IF(B877="","",AVERAGE(B871:B877))</f>
        <v/>
      </c>
      <c r="F877" s="36">
        <f>IF(B877="","",B877-Settings!$B$4)</f>
        <v/>
      </c>
    </row>
    <row r="878">
      <c r="A878" s="35" t="n"/>
      <c r="B878" s="30" t="n"/>
      <c r="C878" s="36">
        <f>IF(OR(B878="",B877=""),"",B878-B877)</f>
        <v/>
      </c>
      <c r="D878" s="21">
        <f>IF(B878="","",B878/Settings!$B$3^2)</f>
        <v/>
      </c>
      <c r="E878" s="21">
        <f>IF(B878="","",AVERAGE(B872:B878))</f>
        <v/>
      </c>
      <c r="F878" s="36">
        <f>IF(B878="","",B878-Settings!$B$4)</f>
        <v/>
      </c>
    </row>
    <row r="879">
      <c r="A879" s="35" t="n"/>
      <c r="B879" s="30" t="n"/>
      <c r="C879" s="36">
        <f>IF(OR(B879="",B878=""),"",B879-B878)</f>
        <v/>
      </c>
      <c r="D879" s="21">
        <f>IF(B879="","",B879/Settings!$B$3^2)</f>
        <v/>
      </c>
      <c r="E879" s="21">
        <f>IF(B879="","",AVERAGE(B873:B879))</f>
        <v/>
      </c>
      <c r="F879" s="36">
        <f>IF(B879="","",B879-Settings!$B$4)</f>
        <v/>
      </c>
    </row>
    <row r="880">
      <c r="A880" s="35" t="n"/>
      <c r="B880" s="30" t="n"/>
      <c r="C880" s="36">
        <f>IF(OR(B880="",B879=""),"",B880-B879)</f>
        <v/>
      </c>
      <c r="D880" s="21">
        <f>IF(B880="","",B880/Settings!$B$3^2)</f>
        <v/>
      </c>
      <c r="E880" s="21">
        <f>IF(B880="","",AVERAGE(B874:B880))</f>
        <v/>
      </c>
      <c r="F880" s="36">
        <f>IF(B880="","",B880-Settings!$B$4)</f>
        <v/>
      </c>
    </row>
    <row r="881">
      <c r="A881" s="35" t="n"/>
      <c r="B881" s="30" t="n"/>
      <c r="C881" s="36">
        <f>IF(OR(B881="",B880=""),"",B881-B880)</f>
        <v/>
      </c>
      <c r="D881" s="21">
        <f>IF(B881="","",B881/Settings!$B$3^2)</f>
        <v/>
      </c>
      <c r="E881" s="21">
        <f>IF(B881="","",AVERAGE(B875:B881))</f>
        <v/>
      </c>
      <c r="F881" s="36">
        <f>IF(B881="","",B881-Settings!$B$4)</f>
        <v/>
      </c>
    </row>
    <row r="882">
      <c r="A882" s="35" t="n"/>
      <c r="B882" s="30" t="n"/>
      <c r="C882" s="36">
        <f>IF(OR(B882="",B881=""),"",B882-B881)</f>
        <v/>
      </c>
      <c r="D882" s="21">
        <f>IF(B882="","",B882/Settings!$B$3^2)</f>
        <v/>
      </c>
      <c r="E882" s="21">
        <f>IF(B882="","",AVERAGE(B876:B882))</f>
        <v/>
      </c>
      <c r="F882" s="36">
        <f>IF(B882="","",B882-Settings!$B$4)</f>
        <v/>
      </c>
    </row>
    <row r="883">
      <c r="A883" s="35" t="n"/>
      <c r="B883" s="30" t="n"/>
      <c r="C883" s="36">
        <f>IF(OR(B883="",B882=""),"",B883-B882)</f>
        <v/>
      </c>
      <c r="D883" s="21">
        <f>IF(B883="","",B883/Settings!$B$3^2)</f>
        <v/>
      </c>
      <c r="E883" s="21">
        <f>IF(B883="","",AVERAGE(B877:B883))</f>
        <v/>
      </c>
      <c r="F883" s="36">
        <f>IF(B883="","",B883-Settings!$B$4)</f>
        <v/>
      </c>
    </row>
    <row r="884">
      <c r="A884" s="35" t="n"/>
      <c r="B884" s="30" t="n"/>
      <c r="C884" s="36">
        <f>IF(OR(B884="",B883=""),"",B884-B883)</f>
        <v/>
      </c>
      <c r="D884" s="21">
        <f>IF(B884="","",B884/Settings!$B$3^2)</f>
        <v/>
      </c>
      <c r="E884" s="21">
        <f>IF(B884="","",AVERAGE(B878:B884))</f>
        <v/>
      </c>
      <c r="F884" s="36">
        <f>IF(B884="","",B884-Settings!$B$4)</f>
        <v/>
      </c>
    </row>
    <row r="885">
      <c r="A885" s="35" t="n"/>
      <c r="B885" s="30" t="n"/>
      <c r="C885" s="36">
        <f>IF(OR(B885="",B884=""),"",B885-B884)</f>
        <v/>
      </c>
      <c r="D885" s="21">
        <f>IF(B885="","",B885/Settings!$B$3^2)</f>
        <v/>
      </c>
      <c r="E885" s="21">
        <f>IF(B885="","",AVERAGE(B879:B885))</f>
        <v/>
      </c>
      <c r="F885" s="36">
        <f>IF(B885="","",B885-Settings!$B$4)</f>
        <v/>
      </c>
    </row>
    <row r="886">
      <c r="A886" s="35" t="n"/>
      <c r="B886" s="30" t="n"/>
      <c r="C886" s="36">
        <f>IF(OR(B886="",B885=""),"",B886-B885)</f>
        <v/>
      </c>
      <c r="D886" s="21">
        <f>IF(B886="","",B886/Settings!$B$3^2)</f>
        <v/>
      </c>
      <c r="E886" s="21">
        <f>IF(B886="","",AVERAGE(B880:B886))</f>
        <v/>
      </c>
      <c r="F886" s="36">
        <f>IF(B886="","",B886-Settings!$B$4)</f>
        <v/>
      </c>
    </row>
    <row r="887">
      <c r="A887" s="35" t="n"/>
      <c r="B887" s="30" t="n"/>
      <c r="C887" s="36">
        <f>IF(OR(B887="",B886=""),"",B887-B886)</f>
        <v/>
      </c>
      <c r="D887" s="21">
        <f>IF(B887="","",B887/Settings!$B$3^2)</f>
        <v/>
      </c>
      <c r="E887" s="21">
        <f>IF(B887="","",AVERAGE(B881:B887))</f>
        <v/>
      </c>
      <c r="F887" s="36">
        <f>IF(B887="","",B887-Settings!$B$4)</f>
        <v/>
      </c>
    </row>
    <row r="888">
      <c r="A888" s="35" t="n"/>
      <c r="B888" s="30" t="n"/>
      <c r="C888" s="36">
        <f>IF(OR(B888="",B887=""),"",B888-B887)</f>
        <v/>
      </c>
      <c r="D888" s="21">
        <f>IF(B888="","",B888/Settings!$B$3^2)</f>
        <v/>
      </c>
      <c r="E888" s="21">
        <f>IF(B888="","",AVERAGE(B882:B888))</f>
        <v/>
      </c>
      <c r="F888" s="36">
        <f>IF(B888="","",B888-Settings!$B$4)</f>
        <v/>
      </c>
    </row>
    <row r="889">
      <c r="A889" s="35" t="n"/>
      <c r="B889" s="30" t="n"/>
      <c r="C889" s="36">
        <f>IF(OR(B889="",B888=""),"",B889-B888)</f>
        <v/>
      </c>
      <c r="D889" s="21">
        <f>IF(B889="","",B889/Settings!$B$3^2)</f>
        <v/>
      </c>
      <c r="E889" s="21">
        <f>IF(B889="","",AVERAGE(B883:B889))</f>
        <v/>
      </c>
      <c r="F889" s="36">
        <f>IF(B889="","",B889-Settings!$B$4)</f>
        <v/>
      </c>
    </row>
    <row r="890">
      <c r="A890" s="35" t="n"/>
      <c r="B890" s="30" t="n"/>
      <c r="C890" s="36">
        <f>IF(OR(B890="",B889=""),"",B890-B889)</f>
        <v/>
      </c>
      <c r="D890" s="21">
        <f>IF(B890="","",B890/Settings!$B$3^2)</f>
        <v/>
      </c>
      <c r="E890" s="21">
        <f>IF(B890="","",AVERAGE(B884:B890))</f>
        <v/>
      </c>
      <c r="F890" s="36">
        <f>IF(B890="","",B890-Settings!$B$4)</f>
        <v/>
      </c>
    </row>
    <row r="891">
      <c r="A891" s="35" t="n"/>
      <c r="B891" s="30" t="n"/>
      <c r="C891" s="36">
        <f>IF(OR(B891="",B890=""),"",B891-B890)</f>
        <v/>
      </c>
      <c r="D891" s="21">
        <f>IF(B891="","",B891/Settings!$B$3^2)</f>
        <v/>
      </c>
      <c r="E891" s="21">
        <f>IF(B891="","",AVERAGE(B885:B891))</f>
        <v/>
      </c>
      <c r="F891" s="36">
        <f>IF(B891="","",B891-Settings!$B$4)</f>
        <v/>
      </c>
    </row>
    <row r="892">
      <c r="A892" s="35" t="n"/>
      <c r="B892" s="30" t="n"/>
      <c r="C892" s="36">
        <f>IF(OR(B892="",B891=""),"",B892-B891)</f>
        <v/>
      </c>
      <c r="D892" s="21">
        <f>IF(B892="","",B892/Settings!$B$3^2)</f>
        <v/>
      </c>
      <c r="E892" s="21">
        <f>IF(B892="","",AVERAGE(B886:B892))</f>
        <v/>
      </c>
      <c r="F892" s="36">
        <f>IF(B892="","",B892-Settings!$B$4)</f>
        <v/>
      </c>
    </row>
    <row r="893">
      <c r="A893" s="35" t="n"/>
      <c r="B893" s="30" t="n"/>
      <c r="C893" s="36">
        <f>IF(OR(B893="",B892=""),"",B893-B892)</f>
        <v/>
      </c>
      <c r="D893" s="21">
        <f>IF(B893="","",B893/Settings!$B$3^2)</f>
        <v/>
      </c>
      <c r="E893" s="21">
        <f>IF(B893="","",AVERAGE(B887:B893))</f>
        <v/>
      </c>
      <c r="F893" s="36">
        <f>IF(B893="","",B893-Settings!$B$4)</f>
        <v/>
      </c>
    </row>
    <row r="894">
      <c r="A894" s="35" t="n"/>
      <c r="B894" s="30" t="n"/>
      <c r="C894" s="36">
        <f>IF(OR(B894="",B893=""),"",B894-B893)</f>
        <v/>
      </c>
      <c r="D894" s="21">
        <f>IF(B894="","",B894/Settings!$B$3^2)</f>
        <v/>
      </c>
      <c r="E894" s="21">
        <f>IF(B894="","",AVERAGE(B888:B894))</f>
        <v/>
      </c>
      <c r="F894" s="36">
        <f>IF(B894="","",B894-Settings!$B$4)</f>
        <v/>
      </c>
    </row>
    <row r="895">
      <c r="A895" s="35" t="n"/>
      <c r="B895" s="30" t="n"/>
      <c r="C895" s="36">
        <f>IF(OR(B895="",B894=""),"",B895-B894)</f>
        <v/>
      </c>
      <c r="D895" s="21">
        <f>IF(B895="","",B895/Settings!$B$3^2)</f>
        <v/>
      </c>
      <c r="E895" s="21">
        <f>IF(B895="","",AVERAGE(B889:B895))</f>
        <v/>
      </c>
      <c r="F895" s="36">
        <f>IF(B895="","",B895-Settings!$B$4)</f>
        <v/>
      </c>
    </row>
    <row r="896">
      <c r="A896" s="35" t="n"/>
      <c r="B896" s="30" t="n"/>
      <c r="C896" s="36">
        <f>IF(OR(B896="",B895=""),"",B896-B895)</f>
        <v/>
      </c>
      <c r="D896" s="21">
        <f>IF(B896="","",B896/Settings!$B$3^2)</f>
        <v/>
      </c>
      <c r="E896" s="21">
        <f>IF(B896="","",AVERAGE(B890:B896))</f>
        <v/>
      </c>
      <c r="F896" s="36">
        <f>IF(B896="","",B896-Settings!$B$4)</f>
        <v/>
      </c>
    </row>
    <row r="897">
      <c r="A897" s="35" t="n"/>
      <c r="B897" s="30" t="n"/>
      <c r="C897" s="36">
        <f>IF(OR(B897="",B896=""),"",B897-B896)</f>
        <v/>
      </c>
      <c r="D897" s="21">
        <f>IF(B897="","",B897/Settings!$B$3^2)</f>
        <v/>
      </c>
      <c r="E897" s="21">
        <f>IF(B897="","",AVERAGE(B891:B897))</f>
        <v/>
      </c>
      <c r="F897" s="36">
        <f>IF(B897="","",B897-Settings!$B$4)</f>
        <v/>
      </c>
    </row>
    <row r="898">
      <c r="A898" s="35" t="n"/>
      <c r="B898" s="30" t="n"/>
      <c r="C898" s="36">
        <f>IF(OR(B898="",B897=""),"",B898-B897)</f>
        <v/>
      </c>
      <c r="D898" s="21">
        <f>IF(B898="","",B898/Settings!$B$3^2)</f>
        <v/>
      </c>
      <c r="E898" s="21">
        <f>IF(B898="","",AVERAGE(B892:B898))</f>
        <v/>
      </c>
      <c r="F898" s="36">
        <f>IF(B898="","",B898-Settings!$B$4)</f>
        <v/>
      </c>
    </row>
    <row r="899">
      <c r="A899" s="35" t="n"/>
      <c r="B899" s="30" t="n"/>
      <c r="C899" s="36">
        <f>IF(OR(B899="",B898=""),"",B899-B898)</f>
        <v/>
      </c>
      <c r="D899" s="21">
        <f>IF(B899="","",B899/Settings!$B$3^2)</f>
        <v/>
      </c>
      <c r="E899" s="21">
        <f>IF(B899="","",AVERAGE(B893:B899))</f>
        <v/>
      </c>
      <c r="F899" s="36">
        <f>IF(B899="","",B899-Settings!$B$4)</f>
        <v/>
      </c>
    </row>
    <row r="900">
      <c r="A900" s="35" t="n"/>
      <c r="B900" s="30" t="n"/>
      <c r="C900" s="36">
        <f>IF(OR(B900="",B899=""),"",B900-B899)</f>
        <v/>
      </c>
      <c r="D900" s="21">
        <f>IF(B900="","",B900/Settings!$B$3^2)</f>
        <v/>
      </c>
      <c r="E900" s="21">
        <f>IF(B900="","",AVERAGE(B894:B900))</f>
        <v/>
      </c>
      <c r="F900" s="36">
        <f>IF(B900="","",B900-Settings!$B$4)</f>
        <v/>
      </c>
    </row>
    <row r="901">
      <c r="A901" s="35" t="n"/>
      <c r="B901" s="30" t="n"/>
      <c r="C901" s="36">
        <f>IF(OR(B901="",B900=""),"",B901-B900)</f>
        <v/>
      </c>
      <c r="D901" s="21">
        <f>IF(B901="","",B901/Settings!$B$3^2)</f>
        <v/>
      </c>
      <c r="E901" s="21">
        <f>IF(B901="","",AVERAGE(B895:B901))</f>
        <v/>
      </c>
      <c r="F901" s="36">
        <f>IF(B901="","",B901-Settings!$B$4)</f>
        <v/>
      </c>
    </row>
    <row r="902">
      <c r="A902" s="35" t="n"/>
      <c r="B902" s="30" t="n"/>
      <c r="C902" s="36">
        <f>IF(OR(B902="",B901=""),"",B902-B901)</f>
        <v/>
      </c>
      <c r="D902" s="21">
        <f>IF(B902="","",B902/Settings!$B$3^2)</f>
        <v/>
      </c>
      <c r="E902" s="21">
        <f>IF(B902="","",AVERAGE(B896:B902))</f>
        <v/>
      </c>
      <c r="F902" s="36">
        <f>IF(B902="","",B902-Settings!$B$4)</f>
        <v/>
      </c>
    </row>
    <row r="903">
      <c r="A903" s="35" t="n"/>
      <c r="B903" s="30" t="n"/>
      <c r="C903" s="36">
        <f>IF(OR(B903="",B902=""),"",B903-B902)</f>
        <v/>
      </c>
      <c r="D903" s="21">
        <f>IF(B903="","",B903/Settings!$B$3^2)</f>
        <v/>
      </c>
      <c r="E903" s="21">
        <f>IF(B903="","",AVERAGE(B897:B903))</f>
        <v/>
      </c>
      <c r="F903" s="36">
        <f>IF(B903="","",B903-Settings!$B$4)</f>
        <v/>
      </c>
    </row>
    <row r="904">
      <c r="A904" s="35" t="n"/>
      <c r="B904" s="30" t="n"/>
      <c r="C904" s="36">
        <f>IF(OR(B904="",B903=""),"",B904-B903)</f>
        <v/>
      </c>
      <c r="D904" s="21">
        <f>IF(B904="","",B904/Settings!$B$3^2)</f>
        <v/>
      </c>
      <c r="E904" s="21">
        <f>IF(B904="","",AVERAGE(B898:B904))</f>
        <v/>
      </c>
      <c r="F904" s="36">
        <f>IF(B904="","",B904-Settings!$B$4)</f>
        <v/>
      </c>
    </row>
    <row r="905">
      <c r="A905" s="35" t="n"/>
      <c r="B905" s="30" t="n"/>
      <c r="C905" s="36">
        <f>IF(OR(B905="",B904=""),"",B905-B904)</f>
        <v/>
      </c>
      <c r="D905" s="21">
        <f>IF(B905="","",B905/Settings!$B$3^2)</f>
        <v/>
      </c>
      <c r="E905" s="21">
        <f>IF(B905="","",AVERAGE(B899:B905))</f>
        <v/>
      </c>
      <c r="F905" s="36">
        <f>IF(B905="","",B905-Settings!$B$4)</f>
        <v/>
      </c>
    </row>
    <row r="906">
      <c r="A906" s="35" t="n"/>
      <c r="B906" s="30" t="n"/>
      <c r="C906" s="36">
        <f>IF(OR(B906="",B905=""),"",B906-B905)</f>
        <v/>
      </c>
      <c r="D906" s="21">
        <f>IF(B906="","",B906/Settings!$B$3^2)</f>
        <v/>
      </c>
      <c r="E906" s="21">
        <f>IF(B906="","",AVERAGE(B900:B906))</f>
        <v/>
      </c>
      <c r="F906" s="36">
        <f>IF(B906="","",B906-Settings!$B$4)</f>
        <v/>
      </c>
    </row>
    <row r="907">
      <c r="A907" s="35" t="n"/>
      <c r="B907" s="30" t="n"/>
      <c r="C907" s="36">
        <f>IF(OR(B907="",B906=""),"",B907-B906)</f>
        <v/>
      </c>
      <c r="D907" s="21">
        <f>IF(B907="","",B907/Settings!$B$3^2)</f>
        <v/>
      </c>
      <c r="E907" s="21">
        <f>IF(B907="","",AVERAGE(B901:B907))</f>
        <v/>
      </c>
      <c r="F907" s="36">
        <f>IF(B907="","",B907-Settings!$B$4)</f>
        <v/>
      </c>
    </row>
    <row r="908">
      <c r="A908" s="35" t="n"/>
      <c r="B908" s="30" t="n"/>
      <c r="C908" s="36">
        <f>IF(OR(B908="",B907=""),"",B908-B907)</f>
        <v/>
      </c>
      <c r="D908" s="21">
        <f>IF(B908="","",B908/Settings!$B$3^2)</f>
        <v/>
      </c>
      <c r="E908" s="21">
        <f>IF(B908="","",AVERAGE(B902:B908))</f>
        <v/>
      </c>
      <c r="F908" s="36">
        <f>IF(B908="","",B908-Settings!$B$4)</f>
        <v/>
      </c>
    </row>
    <row r="909">
      <c r="A909" s="35" t="n"/>
      <c r="B909" s="30" t="n"/>
      <c r="C909" s="36">
        <f>IF(OR(B909="",B908=""),"",B909-B908)</f>
        <v/>
      </c>
      <c r="D909" s="21">
        <f>IF(B909="","",B909/Settings!$B$3^2)</f>
        <v/>
      </c>
      <c r="E909" s="21">
        <f>IF(B909="","",AVERAGE(B903:B909))</f>
        <v/>
      </c>
      <c r="F909" s="36">
        <f>IF(B909="","",B909-Settings!$B$4)</f>
        <v/>
      </c>
    </row>
    <row r="910">
      <c r="A910" s="35" t="n"/>
      <c r="B910" s="30" t="n"/>
      <c r="C910" s="36">
        <f>IF(OR(B910="",B909=""),"",B910-B909)</f>
        <v/>
      </c>
      <c r="D910" s="21">
        <f>IF(B910="","",B910/Settings!$B$3^2)</f>
        <v/>
      </c>
      <c r="E910" s="21">
        <f>IF(B910="","",AVERAGE(B904:B910))</f>
        <v/>
      </c>
      <c r="F910" s="36">
        <f>IF(B910="","",B910-Settings!$B$4)</f>
        <v/>
      </c>
    </row>
    <row r="911">
      <c r="A911" s="35" t="n"/>
      <c r="B911" s="30" t="n"/>
      <c r="C911" s="36">
        <f>IF(OR(B911="",B910=""),"",B911-B910)</f>
        <v/>
      </c>
      <c r="D911" s="21">
        <f>IF(B911="","",B911/Settings!$B$3^2)</f>
        <v/>
      </c>
      <c r="E911" s="21">
        <f>IF(B911="","",AVERAGE(B905:B911))</f>
        <v/>
      </c>
      <c r="F911" s="36">
        <f>IF(B911="","",B911-Settings!$B$4)</f>
        <v/>
      </c>
    </row>
    <row r="912">
      <c r="A912" s="35" t="n"/>
      <c r="B912" s="30" t="n"/>
      <c r="C912" s="36">
        <f>IF(OR(B912="",B911=""),"",B912-B911)</f>
        <v/>
      </c>
      <c r="D912" s="21">
        <f>IF(B912="","",B912/Settings!$B$3^2)</f>
        <v/>
      </c>
      <c r="E912" s="21">
        <f>IF(B912="","",AVERAGE(B906:B912))</f>
        <v/>
      </c>
      <c r="F912" s="36">
        <f>IF(B912="","",B912-Settings!$B$4)</f>
        <v/>
      </c>
    </row>
    <row r="913">
      <c r="A913" s="35" t="n"/>
      <c r="B913" s="30" t="n"/>
      <c r="C913" s="36">
        <f>IF(OR(B913="",B912=""),"",B913-B912)</f>
        <v/>
      </c>
      <c r="D913" s="21">
        <f>IF(B913="","",B913/Settings!$B$3^2)</f>
        <v/>
      </c>
      <c r="E913" s="21">
        <f>IF(B913="","",AVERAGE(B907:B913))</f>
        <v/>
      </c>
      <c r="F913" s="36">
        <f>IF(B913="","",B913-Settings!$B$4)</f>
        <v/>
      </c>
    </row>
    <row r="914">
      <c r="A914" s="35" t="n"/>
      <c r="B914" s="30" t="n"/>
      <c r="C914" s="36">
        <f>IF(OR(B914="",B913=""),"",B914-B913)</f>
        <v/>
      </c>
      <c r="D914" s="21">
        <f>IF(B914="","",B914/Settings!$B$3^2)</f>
        <v/>
      </c>
      <c r="E914" s="21">
        <f>IF(B914="","",AVERAGE(B908:B914))</f>
        <v/>
      </c>
      <c r="F914" s="36">
        <f>IF(B914="","",B914-Settings!$B$4)</f>
        <v/>
      </c>
    </row>
    <row r="915">
      <c r="A915" s="35" t="n"/>
      <c r="B915" s="30" t="n"/>
      <c r="C915" s="36">
        <f>IF(OR(B915="",B914=""),"",B915-B914)</f>
        <v/>
      </c>
      <c r="D915" s="21">
        <f>IF(B915="","",B915/Settings!$B$3^2)</f>
        <v/>
      </c>
      <c r="E915" s="21">
        <f>IF(B915="","",AVERAGE(B909:B915))</f>
        <v/>
      </c>
      <c r="F915" s="36">
        <f>IF(B915="","",B915-Settings!$B$4)</f>
        <v/>
      </c>
    </row>
    <row r="916">
      <c r="A916" s="35" t="n"/>
      <c r="B916" s="30" t="n"/>
      <c r="C916" s="36">
        <f>IF(OR(B916="",B915=""),"",B916-B915)</f>
        <v/>
      </c>
      <c r="D916" s="21">
        <f>IF(B916="","",B916/Settings!$B$3^2)</f>
        <v/>
      </c>
      <c r="E916" s="21">
        <f>IF(B916="","",AVERAGE(B910:B916))</f>
        <v/>
      </c>
      <c r="F916" s="36">
        <f>IF(B916="","",B916-Settings!$B$4)</f>
        <v/>
      </c>
    </row>
    <row r="917">
      <c r="A917" s="35" t="n"/>
      <c r="B917" s="30" t="n"/>
      <c r="C917" s="36">
        <f>IF(OR(B917="",B916=""),"",B917-B916)</f>
        <v/>
      </c>
      <c r="D917" s="21">
        <f>IF(B917="","",B917/Settings!$B$3^2)</f>
        <v/>
      </c>
      <c r="E917" s="21">
        <f>IF(B917="","",AVERAGE(B911:B917))</f>
        <v/>
      </c>
      <c r="F917" s="36">
        <f>IF(B917="","",B917-Settings!$B$4)</f>
        <v/>
      </c>
    </row>
    <row r="918">
      <c r="A918" s="35" t="n"/>
      <c r="B918" s="30" t="n"/>
      <c r="C918" s="36">
        <f>IF(OR(B918="",B917=""),"",B918-B917)</f>
        <v/>
      </c>
      <c r="D918" s="21">
        <f>IF(B918="","",B918/Settings!$B$3^2)</f>
        <v/>
      </c>
      <c r="E918" s="21">
        <f>IF(B918="","",AVERAGE(B912:B918))</f>
        <v/>
      </c>
      <c r="F918" s="36">
        <f>IF(B918="","",B918-Settings!$B$4)</f>
        <v/>
      </c>
    </row>
    <row r="919">
      <c r="A919" s="35" t="n"/>
      <c r="B919" s="30" t="n"/>
      <c r="C919" s="36">
        <f>IF(OR(B919="",B918=""),"",B919-B918)</f>
        <v/>
      </c>
      <c r="D919" s="21">
        <f>IF(B919="","",B919/Settings!$B$3^2)</f>
        <v/>
      </c>
      <c r="E919" s="21">
        <f>IF(B919="","",AVERAGE(B913:B919))</f>
        <v/>
      </c>
      <c r="F919" s="36">
        <f>IF(B919="","",B919-Settings!$B$4)</f>
        <v/>
      </c>
    </row>
    <row r="920">
      <c r="A920" s="35" t="n"/>
      <c r="B920" s="30" t="n"/>
      <c r="C920" s="36">
        <f>IF(OR(B920="",B919=""),"",B920-B919)</f>
        <v/>
      </c>
      <c r="D920" s="21">
        <f>IF(B920="","",B920/Settings!$B$3^2)</f>
        <v/>
      </c>
      <c r="E920" s="21">
        <f>IF(B920="","",AVERAGE(B914:B920))</f>
        <v/>
      </c>
      <c r="F920" s="36">
        <f>IF(B920="","",B920-Settings!$B$4)</f>
        <v/>
      </c>
    </row>
    <row r="921">
      <c r="A921" s="35" t="n"/>
      <c r="B921" s="30" t="n"/>
      <c r="C921" s="36">
        <f>IF(OR(B921="",B920=""),"",B921-B920)</f>
        <v/>
      </c>
      <c r="D921" s="21">
        <f>IF(B921="","",B921/Settings!$B$3^2)</f>
        <v/>
      </c>
      <c r="E921" s="21">
        <f>IF(B921="","",AVERAGE(B915:B921))</f>
        <v/>
      </c>
      <c r="F921" s="36">
        <f>IF(B921="","",B921-Settings!$B$4)</f>
        <v/>
      </c>
    </row>
    <row r="922">
      <c r="A922" s="35" t="n"/>
      <c r="B922" s="30" t="n"/>
      <c r="C922" s="36">
        <f>IF(OR(B922="",B921=""),"",B922-B921)</f>
        <v/>
      </c>
      <c r="D922" s="21">
        <f>IF(B922="","",B922/Settings!$B$3^2)</f>
        <v/>
      </c>
      <c r="E922" s="21">
        <f>IF(B922="","",AVERAGE(B916:B922))</f>
        <v/>
      </c>
      <c r="F922" s="36">
        <f>IF(B922="","",B922-Settings!$B$4)</f>
        <v/>
      </c>
    </row>
    <row r="923">
      <c r="A923" s="35" t="n"/>
      <c r="B923" s="30" t="n"/>
      <c r="C923" s="36">
        <f>IF(OR(B923="",B922=""),"",B923-B922)</f>
        <v/>
      </c>
      <c r="D923" s="21">
        <f>IF(B923="","",B923/Settings!$B$3^2)</f>
        <v/>
      </c>
      <c r="E923" s="21">
        <f>IF(B923="","",AVERAGE(B917:B923))</f>
        <v/>
      </c>
      <c r="F923" s="36">
        <f>IF(B923="","",B923-Settings!$B$4)</f>
        <v/>
      </c>
    </row>
    <row r="924">
      <c r="A924" s="35" t="n"/>
      <c r="B924" s="30" t="n"/>
      <c r="C924" s="36">
        <f>IF(OR(B924="",B923=""),"",B924-B923)</f>
        <v/>
      </c>
      <c r="D924" s="21">
        <f>IF(B924="","",B924/Settings!$B$3^2)</f>
        <v/>
      </c>
      <c r="E924" s="21">
        <f>IF(B924="","",AVERAGE(B918:B924))</f>
        <v/>
      </c>
      <c r="F924" s="36">
        <f>IF(B924="","",B924-Settings!$B$4)</f>
        <v/>
      </c>
    </row>
    <row r="925">
      <c r="A925" s="35" t="n"/>
      <c r="B925" s="30" t="n"/>
      <c r="C925" s="36">
        <f>IF(OR(B925="",B924=""),"",B925-B924)</f>
        <v/>
      </c>
      <c r="D925" s="21">
        <f>IF(B925="","",B925/Settings!$B$3^2)</f>
        <v/>
      </c>
      <c r="E925" s="21">
        <f>IF(B925="","",AVERAGE(B919:B925))</f>
        <v/>
      </c>
      <c r="F925" s="36">
        <f>IF(B925="","",B925-Settings!$B$4)</f>
        <v/>
      </c>
    </row>
    <row r="926">
      <c r="A926" s="35" t="n"/>
      <c r="B926" s="30" t="n"/>
      <c r="C926" s="36">
        <f>IF(OR(B926="",B925=""),"",B926-B925)</f>
        <v/>
      </c>
      <c r="D926" s="21">
        <f>IF(B926="","",B926/Settings!$B$3^2)</f>
        <v/>
      </c>
      <c r="E926" s="21">
        <f>IF(B926="","",AVERAGE(B920:B926))</f>
        <v/>
      </c>
      <c r="F926" s="36">
        <f>IF(B926="","",B926-Settings!$B$4)</f>
        <v/>
      </c>
    </row>
    <row r="927">
      <c r="A927" s="35" t="n"/>
      <c r="B927" s="30" t="n"/>
      <c r="C927" s="36">
        <f>IF(OR(B927="",B926=""),"",B927-B926)</f>
        <v/>
      </c>
      <c r="D927" s="21">
        <f>IF(B927="","",B927/Settings!$B$3^2)</f>
        <v/>
      </c>
      <c r="E927" s="21">
        <f>IF(B927="","",AVERAGE(B921:B927))</f>
        <v/>
      </c>
      <c r="F927" s="36">
        <f>IF(B927="","",B927-Settings!$B$4)</f>
        <v/>
      </c>
    </row>
    <row r="928">
      <c r="A928" s="35" t="n"/>
      <c r="B928" s="30" t="n"/>
      <c r="C928" s="36">
        <f>IF(OR(B928="",B927=""),"",B928-B927)</f>
        <v/>
      </c>
      <c r="D928" s="21">
        <f>IF(B928="","",B928/Settings!$B$3^2)</f>
        <v/>
      </c>
      <c r="E928" s="21">
        <f>IF(B928="","",AVERAGE(B922:B928))</f>
        <v/>
      </c>
      <c r="F928" s="36">
        <f>IF(B928="","",B928-Settings!$B$4)</f>
        <v/>
      </c>
    </row>
    <row r="929">
      <c r="A929" s="35" t="n"/>
      <c r="B929" s="30" t="n"/>
      <c r="C929" s="36">
        <f>IF(OR(B929="",B928=""),"",B929-B928)</f>
        <v/>
      </c>
      <c r="D929" s="21">
        <f>IF(B929="","",B929/Settings!$B$3^2)</f>
        <v/>
      </c>
      <c r="E929" s="21">
        <f>IF(B929="","",AVERAGE(B923:B929))</f>
        <v/>
      </c>
      <c r="F929" s="36">
        <f>IF(B929="","",B929-Settings!$B$4)</f>
        <v/>
      </c>
    </row>
    <row r="930">
      <c r="A930" s="35" t="n"/>
      <c r="B930" s="30" t="n"/>
      <c r="C930" s="36">
        <f>IF(OR(B930="",B929=""),"",B930-B929)</f>
        <v/>
      </c>
      <c r="D930" s="21">
        <f>IF(B930="","",B930/Settings!$B$3^2)</f>
        <v/>
      </c>
      <c r="E930" s="21">
        <f>IF(B930="","",AVERAGE(B924:B930))</f>
        <v/>
      </c>
      <c r="F930" s="36">
        <f>IF(B930="","",B930-Settings!$B$4)</f>
        <v/>
      </c>
    </row>
    <row r="931">
      <c r="A931" s="35" t="n"/>
      <c r="B931" s="30" t="n"/>
      <c r="C931" s="36">
        <f>IF(OR(B931="",B930=""),"",B931-B930)</f>
        <v/>
      </c>
      <c r="D931" s="21">
        <f>IF(B931="","",B931/Settings!$B$3^2)</f>
        <v/>
      </c>
      <c r="E931" s="21">
        <f>IF(B931="","",AVERAGE(B925:B931))</f>
        <v/>
      </c>
      <c r="F931" s="36">
        <f>IF(B931="","",B931-Settings!$B$4)</f>
        <v/>
      </c>
    </row>
    <row r="932">
      <c r="A932" s="35" t="n"/>
      <c r="B932" s="30" t="n"/>
      <c r="C932" s="36">
        <f>IF(OR(B932="",B931=""),"",B932-B931)</f>
        <v/>
      </c>
      <c r="D932" s="21">
        <f>IF(B932="","",B932/Settings!$B$3^2)</f>
        <v/>
      </c>
      <c r="E932" s="21">
        <f>IF(B932="","",AVERAGE(B926:B932))</f>
        <v/>
      </c>
      <c r="F932" s="36">
        <f>IF(B932="","",B932-Settings!$B$4)</f>
        <v/>
      </c>
    </row>
    <row r="933">
      <c r="A933" s="35" t="n"/>
      <c r="B933" s="30" t="n"/>
      <c r="C933" s="36">
        <f>IF(OR(B933="",B932=""),"",B933-B932)</f>
        <v/>
      </c>
      <c r="D933" s="21">
        <f>IF(B933="","",B933/Settings!$B$3^2)</f>
        <v/>
      </c>
      <c r="E933" s="21">
        <f>IF(B933="","",AVERAGE(B927:B933))</f>
        <v/>
      </c>
      <c r="F933" s="36">
        <f>IF(B933="","",B933-Settings!$B$4)</f>
        <v/>
      </c>
    </row>
    <row r="934">
      <c r="A934" s="35" t="n"/>
      <c r="B934" s="30" t="n"/>
      <c r="C934" s="36">
        <f>IF(OR(B934="",B933=""),"",B934-B933)</f>
        <v/>
      </c>
      <c r="D934" s="21">
        <f>IF(B934="","",B934/Settings!$B$3^2)</f>
        <v/>
      </c>
      <c r="E934" s="21">
        <f>IF(B934="","",AVERAGE(B928:B934))</f>
        <v/>
      </c>
      <c r="F934" s="36">
        <f>IF(B934="","",B934-Settings!$B$4)</f>
        <v/>
      </c>
    </row>
    <row r="935">
      <c r="A935" s="35" t="n"/>
      <c r="B935" s="30" t="n"/>
      <c r="C935" s="36">
        <f>IF(OR(B935="",B934=""),"",B935-B934)</f>
        <v/>
      </c>
      <c r="D935" s="21">
        <f>IF(B935="","",B935/Settings!$B$3^2)</f>
        <v/>
      </c>
      <c r="E935" s="21">
        <f>IF(B935="","",AVERAGE(B929:B935))</f>
        <v/>
      </c>
      <c r="F935" s="36">
        <f>IF(B935="","",B935-Settings!$B$4)</f>
        <v/>
      </c>
    </row>
    <row r="936">
      <c r="A936" s="35" t="n"/>
      <c r="B936" s="30" t="n"/>
      <c r="C936" s="36">
        <f>IF(OR(B936="",B935=""),"",B936-B935)</f>
        <v/>
      </c>
      <c r="D936" s="21">
        <f>IF(B936="","",B936/Settings!$B$3^2)</f>
        <v/>
      </c>
      <c r="E936" s="21">
        <f>IF(B936="","",AVERAGE(B930:B936))</f>
        <v/>
      </c>
      <c r="F936" s="36">
        <f>IF(B936="","",B936-Settings!$B$4)</f>
        <v/>
      </c>
    </row>
    <row r="937">
      <c r="A937" s="35" t="n"/>
      <c r="B937" s="30" t="n"/>
      <c r="C937" s="36">
        <f>IF(OR(B937="",B936=""),"",B937-B936)</f>
        <v/>
      </c>
      <c r="D937" s="21">
        <f>IF(B937="","",B937/Settings!$B$3^2)</f>
        <v/>
      </c>
      <c r="E937" s="21">
        <f>IF(B937="","",AVERAGE(B931:B937))</f>
        <v/>
      </c>
      <c r="F937" s="36">
        <f>IF(B937="","",B937-Settings!$B$4)</f>
        <v/>
      </c>
    </row>
    <row r="938">
      <c r="A938" s="35" t="n"/>
      <c r="B938" s="30" t="n"/>
      <c r="C938" s="36">
        <f>IF(OR(B938="",B937=""),"",B938-B937)</f>
        <v/>
      </c>
      <c r="D938" s="21">
        <f>IF(B938="","",B938/Settings!$B$3^2)</f>
        <v/>
      </c>
      <c r="E938" s="21">
        <f>IF(B938="","",AVERAGE(B932:B938))</f>
        <v/>
      </c>
      <c r="F938" s="36">
        <f>IF(B938="","",B938-Settings!$B$4)</f>
        <v/>
      </c>
    </row>
    <row r="939">
      <c r="A939" s="35" t="n"/>
      <c r="B939" s="30" t="n"/>
      <c r="C939" s="36">
        <f>IF(OR(B939="",B938=""),"",B939-B938)</f>
        <v/>
      </c>
      <c r="D939" s="21">
        <f>IF(B939="","",B939/Settings!$B$3^2)</f>
        <v/>
      </c>
      <c r="E939" s="21">
        <f>IF(B939="","",AVERAGE(B933:B939))</f>
        <v/>
      </c>
      <c r="F939" s="36">
        <f>IF(B939="","",B939-Settings!$B$4)</f>
        <v/>
      </c>
    </row>
    <row r="940">
      <c r="A940" s="35" t="n"/>
      <c r="B940" s="30" t="n"/>
      <c r="C940" s="36">
        <f>IF(OR(B940="",B939=""),"",B940-B939)</f>
        <v/>
      </c>
      <c r="D940" s="21">
        <f>IF(B940="","",B940/Settings!$B$3^2)</f>
        <v/>
      </c>
      <c r="E940" s="21">
        <f>IF(B940="","",AVERAGE(B934:B940))</f>
        <v/>
      </c>
      <c r="F940" s="36">
        <f>IF(B940="","",B940-Settings!$B$4)</f>
        <v/>
      </c>
    </row>
    <row r="941">
      <c r="A941" s="35" t="n"/>
      <c r="B941" s="30" t="n"/>
      <c r="C941" s="36">
        <f>IF(OR(B941="",B940=""),"",B941-B940)</f>
        <v/>
      </c>
      <c r="D941" s="21">
        <f>IF(B941="","",B941/Settings!$B$3^2)</f>
        <v/>
      </c>
      <c r="E941" s="21">
        <f>IF(B941="","",AVERAGE(B935:B941))</f>
        <v/>
      </c>
      <c r="F941" s="36">
        <f>IF(B941="","",B941-Settings!$B$4)</f>
        <v/>
      </c>
    </row>
    <row r="942">
      <c r="A942" s="35" t="n"/>
      <c r="B942" s="30" t="n"/>
      <c r="C942" s="36">
        <f>IF(OR(B942="",B941=""),"",B942-B941)</f>
        <v/>
      </c>
      <c r="D942" s="21">
        <f>IF(B942="","",B942/Settings!$B$3^2)</f>
        <v/>
      </c>
      <c r="E942" s="21">
        <f>IF(B942="","",AVERAGE(B936:B942))</f>
        <v/>
      </c>
      <c r="F942" s="36">
        <f>IF(B942="","",B942-Settings!$B$4)</f>
        <v/>
      </c>
    </row>
    <row r="943">
      <c r="A943" s="35" t="n"/>
      <c r="B943" s="30" t="n"/>
      <c r="C943" s="36">
        <f>IF(OR(B943="",B942=""),"",B943-B942)</f>
        <v/>
      </c>
      <c r="D943" s="21">
        <f>IF(B943="","",B943/Settings!$B$3^2)</f>
        <v/>
      </c>
      <c r="E943" s="21">
        <f>IF(B943="","",AVERAGE(B937:B943))</f>
        <v/>
      </c>
      <c r="F943" s="36">
        <f>IF(B943="","",B943-Settings!$B$4)</f>
        <v/>
      </c>
    </row>
    <row r="944">
      <c r="A944" s="35" t="n"/>
      <c r="B944" s="30" t="n"/>
      <c r="C944" s="36">
        <f>IF(OR(B944="",B943=""),"",B944-B943)</f>
        <v/>
      </c>
      <c r="D944" s="21">
        <f>IF(B944="","",B944/Settings!$B$3^2)</f>
        <v/>
      </c>
      <c r="E944" s="21">
        <f>IF(B944="","",AVERAGE(B938:B944))</f>
        <v/>
      </c>
      <c r="F944" s="36">
        <f>IF(B944="","",B944-Settings!$B$4)</f>
        <v/>
      </c>
    </row>
    <row r="945">
      <c r="A945" s="35" t="n"/>
      <c r="B945" s="30" t="n"/>
      <c r="C945" s="36">
        <f>IF(OR(B945="",B944=""),"",B945-B944)</f>
        <v/>
      </c>
      <c r="D945" s="21">
        <f>IF(B945="","",B945/Settings!$B$3^2)</f>
        <v/>
      </c>
      <c r="E945" s="21">
        <f>IF(B945="","",AVERAGE(B939:B945))</f>
        <v/>
      </c>
      <c r="F945" s="36">
        <f>IF(B945="","",B945-Settings!$B$4)</f>
        <v/>
      </c>
    </row>
    <row r="946">
      <c r="A946" s="35" t="n"/>
      <c r="B946" s="30" t="n"/>
      <c r="C946" s="36">
        <f>IF(OR(B946="",B945=""),"",B946-B945)</f>
        <v/>
      </c>
      <c r="D946" s="21">
        <f>IF(B946="","",B946/Settings!$B$3^2)</f>
        <v/>
      </c>
      <c r="E946" s="21">
        <f>IF(B946="","",AVERAGE(B940:B946))</f>
        <v/>
      </c>
      <c r="F946" s="36">
        <f>IF(B946="","",B946-Settings!$B$4)</f>
        <v/>
      </c>
    </row>
    <row r="947">
      <c r="A947" s="35" t="n"/>
      <c r="B947" s="30" t="n"/>
      <c r="C947" s="36">
        <f>IF(OR(B947="",B946=""),"",B947-B946)</f>
        <v/>
      </c>
      <c r="D947" s="21">
        <f>IF(B947="","",B947/Settings!$B$3^2)</f>
        <v/>
      </c>
      <c r="E947" s="21">
        <f>IF(B947="","",AVERAGE(B941:B947))</f>
        <v/>
      </c>
      <c r="F947" s="36">
        <f>IF(B947="","",B947-Settings!$B$4)</f>
        <v/>
      </c>
    </row>
    <row r="948">
      <c r="A948" s="35" t="n"/>
      <c r="B948" s="30" t="n"/>
      <c r="C948" s="36">
        <f>IF(OR(B948="",B947=""),"",B948-B947)</f>
        <v/>
      </c>
      <c r="D948" s="21">
        <f>IF(B948="","",B948/Settings!$B$3^2)</f>
        <v/>
      </c>
      <c r="E948" s="21">
        <f>IF(B948="","",AVERAGE(B942:B948))</f>
        <v/>
      </c>
      <c r="F948" s="36">
        <f>IF(B948="","",B948-Settings!$B$4)</f>
        <v/>
      </c>
    </row>
    <row r="949">
      <c r="A949" s="35" t="n"/>
      <c r="B949" s="30" t="n"/>
      <c r="C949" s="36">
        <f>IF(OR(B949="",B948=""),"",B949-B948)</f>
        <v/>
      </c>
      <c r="D949" s="21">
        <f>IF(B949="","",B949/Settings!$B$3^2)</f>
        <v/>
      </c>
      <c r="E949" s="21">
        <f>IF(B949="","",AVERAGE(B943:B949))</f>
        <v/>
      </c>
      <c r="F949" s="36">
        <f>IF(B949="","",B949-Settings!$B$4)</f>
        <v/>
      </c>
    </row>
    <row r="950">
      <c r="A950" s="35" t="n"/>
      <c r="B950" s="30" t="n"/>
      <c r="C950" s="36">
        <f>IF(OR(B950="",B949=""),"",B950-B949)</f>
        <v/>
      </c>
      <c r="D950" s="21">
        <f>IF(B950="","",B950/Settings!$B$3^2)</f>
        <v/>
      </c>
      <c r="E950" s="21">
        <f>IF(B950="","",AVERAGE(B944:B950))</f>
        <v/>
      </c>
      <c r="F950" s="36">
        <f>IF(B950="","",B950-Settings!$B$4)</f>
        <v/>
      </c>
    </row>
    <row r="951">
      <c r="A951" s="35" t="n"/>
      <c r="B951" s="30" t="n"/>
      <c r="C951" s="36">
        <f>IF(OR(B951="",B950=""),"",B951-B950)</f>
        <v/>
      </c>
      <c r="D951" s="21">
        <f>IF(B951="","",B951/Settings!$B$3^2)</f>
        <v/>
      </c>
      <c r="E951" s="21">
        <f>IF(B951="","",AVERAGE(B945:B951))</f>
        <v/>
      </c>
      <c r="F951" s="36">
        <f>IF(B951="","",B951-Settings!$B$4)</f>
        <v/>
      </c>
    </row>
    <row r="952">
      <c r="A952" s="35" t="n"/>
      <c r="B952" s="30" t="n"/>
      <c r="C952" s="36">
        <f>IF(OR(B952="",B951=""),"",B952-B951)</f>
        <v/>
      </c>
      <c r="D952" s="21">
        <f>IF(B952="","",B952/Settings!$B$3^2)</f>
        <v/>
      </c>
      <c r="E952" s="21">
        <f>IF(B952="","",AVERAGE(B946:B952))</f>
        <v/>
      </c>
      <c r="F952" s="36">
        <f>IF(B952="","",B952-Settings!$B$4)</f>
        <v/>
      </c>
    </row>
    <row r="953">
      <c r="A953" s="35" t="n"/>
      <c r="B953" s="30" t="n"/>
      <c r="C953" s="36">
        <f>IF(OR(B953="",B952=""),"",B953-B952)</f>
        <v/>
      </c>
      <c r="D953" s="21">
        <f>IF(B953="","",B953/Settings!$B$3^2)</f>
        <v/>
      </c>
      <c r="E953" s="21">
        <f>IF(B953="","",AVERAGE(B947:B953))</f>
        <v/>
      </c>
      <c r="F953" s="36">
        <f>IF(B953="","",B953-Settings!$B$4)</f>
        <v/>
      </c>
    </row>
    <row r="954">
      <c r="A954" s="35" t="n"/>
      <c r="B954" s="30" t="n"/>
      <c r="C954" s="36">
        <f>IF(OR(B954="",B953=""),"",B954-B953)</f>
        <v/>
      </c>
      <c r="D954" s="21">
        <f>IF(B954="","",B954/Settings!$B$3^2)</f>
        <v/>
      </c>
      <c r="E954" s="21">
        <f>IF(B954="","",AVERAGE(B948:B954))</f>
        <v/>
      </c>
      <c r="F954" s="36">
        <f>IF(B954="","",B954-Settings!$B$4)</f>
        <v/>
      </c>
    </row>
    <row r="955">
      <c r="A955" s="35" t="n"/>
      <c r="B955" s="30" t="n"/>
      <c r="C955" s="36">
        <f>IF(OR(B955="",B954=""),"",B955-B954)</f>
        <v/>
      </c>
      <c r="D955" s="21">
        <f>IF(B955="","",B955/Settings!$B$3^2)</f>
        <v/>
      </c>
      <c r="E955" s="21">
        <f>IF(B955="","",AVERAGE(B949:B955))</f>
        <v/>
      </c>
      <c r="F955" s="36">
        <f>IF(B955="","",B955-Settings!$B$4)</f>
        <v/>
      </c>
    </row>
    <row r="956">
      <c r="A956" s="35" t="n"/>
      <c r="B956" s="30" t="n"/>
      <c r="C956" s="36">
        <f>IF(OR(B956="",B955=""),"",B956-B955)</f>
        <v/>
      </c>
      <c r="D956" s="21">
        <f>IF(B956="","",B956/Settings!$B$3^2)</f>
        <v/>
      </c>
      <c r="E956" s="21">
        <f>IF(B956="","",AVERAGE(B950:B956))</f>
        <v/>
      </c>
      <c r="F956" s="36">
        <f>IF(B956="","",B956-Settings!$B$4)</f>
        <v/>
      </c>
    </row>
    <row r="957">
      <c r="A957" s="35" t="n"/>
      <c r="B957" s="30" t="n"/>
      <c r="C957" s="36">
        <f>IF(OR(B957="",B956=""),"",B957-B956)</f>
        <v/>
      </c>
      <c r="D957" s="21">
        <f>IF(B957="","",B957/Settings!$B$3^2)</f>
        <v/>
      </c>
      <c r="E957" s="21">
        <f>IF(B957="","",AVERAGE(B951:B957))</f>
        <v/>
      </c>
      <c r="F957" s="36">
        <f>IF(B957="","",B957-Settings!$B$4)</f>
        <v/>
      </c>
    </row>
    <row r="958">
      <c r="A958" s="35" t="n"/>
      <c r="B958" s="30" t="n"/>
      <c r="C958" s="36">
        <f>IF(OR(B958="",B957=""),"",B958-B957)</f>
        <v/>
      </c>
      <c r="D958" s="21">
        <f>IF(B958="","",B958/Settings!$B$3^2)</f>
        <v/>
      </c>
      <c r="E958" s="21">
        <f>IF(B958="","",AVERAGE(B952:B958))</f>
        <v/>
      </c>
      <c r="F958" s="36">
        <f>IF(B958="","",B958-Settings!$B$4)</f>
        <v/>
      </c>
    </row>
    <row r="959">
      <c r="A959" s="35" t="n"/>
      <c r="B959" s="30" t="n"/>
      <c r="C959" s="36">
        <f>IF(OR(B959="",B958=""),"",B959-B958)</f>
        <v/>
      </c>
      <c r="D959" s="21">
        <f>IF(B959="","",B959/Settings!$B$3^2)</f>
        <v/>
      </c>
      <c r="E959" s="21">
        <f>IF(B959="","",AVERAGE(B953:B959))</f>
        <v/>
      </c>
      <c r="F959" s="36">
        <f>IF(B959="","",B959-Settings!$B$4)</f>
        <v/>
      </c>
    </row>
    <row r="960">
      <c r="A960" s="35" t="n"/>
      <c r="B960" s="30" t="n"/>
      <c r="C960" s="36">
        <f>IF(OR(B960="",B959=""),"",B960-B959)</f>
        <v/>
      </c>
      <c r="D960" s="21">
        <f>IF(B960="","",B960/Settings!$B$3^2)</f>
        <v/>
      </c>
      <c r="E960" s="21">
        <f>IF(B960="","",AVERAGE(B954:B960))</f>
        <v/>
      </c>
      <c r="F960" s="36">
        <f>IF(B960="","",B960-Settings!$B$4)</f>
        <v/>
      </c>
    </row>
    <row r="961">
      <c r="A961" s="35" t="n"/>
      <c r="B961" s="30" t="n"/>
      <c r="C961" s="36">
        <f>IF(OR(B961="",B960=""),"",B961-B960)</f>
        <v/>
      </c>
      <c r="D961" s="21">
        <f>IF(B961="","",B961/Settings!$B$3^2)</f>
        <v/>
      </c>
      <c r="E961" s="21">
        <f>IF(B961="","",AVERAGE(B955:B961))</f>
        <v/>
      </c>
      <c r="F961" s="36">
        <f>IF(B961="","",B961-Settings!$B$4)</f>
        <v/>
      </c>
    </row>
    <row r="962">
      <c r="A962" s="35" t="n"/>
      <c r="B962" s="30" t="n"/>
      <c r="C962" s="36">
        <f>IF(OR(B962="",B961=""),"",B962-B961)</f>
        <v/>
      </c>
      <c r="D962" s="21">
        <f>IF(B962="","",B962/Settings!$B$3^2)</f>
        <v/>
      </c>
      <c r="E962" s="21">
        <f>IF(B962="","",AVERAGE(B956:B962))</f>
        <v/>
      </c>
      <c r="F962" s="36">
        <f>IF(B962="","",B962-Settings!$B$4)</f>
        <v/>
      </c>
    </row>
    <row r="963">
      <c r="A963" s="35" t="n"/>
      <c r="B963" s="30" t="n"/>
      <c r="C963" s="36">
        <f>IF(OR(B963="",B962=""),"",B963-B962)</f>
        <v/>
      </c>
      <c r="D963" s="21">
        <f>IF(B963="","",B963/Settings!$B$3^2)</f>
        <v/>
      </c>
      <c r="E963" s="21">
        <f>IF(B963="","",AVERAGE(B957:B963))</f>
        <v/>
      </c>
      <c r="F963" s="36">
        <f>IF(B963="","",B963-Settings!$B$4)</f>
        <v/>
      </c>
    </row>
    <row r="964">
      <c r="A964" s="35" t="n"/>
      <c r="B964" s="30" t="n"/>
      <c r="C964" s="36">
        <f>IF(OR(B964="",B963=""),"",B964-B963)</f>
        <v/>
      </c>
      <c r="D964" s="21">
        <f>IF(B964="","",B964/Settings!$B$3^2)</f>
        <v/>
      </c>
      <c r="E964" s="21">
        <f>IF(B964="","",AVERAGE(B958:B964))</f>
        <v/>
      </c>
      <c r="F964" s="36">
        <f>IF(B964="","",B964-Settings!$B$4)</f>
        <v/>
      </c>
    </row>
    <row r="965">
      <c r="A965" s="35" t="n"/>
      <c r="B965" s="30" t="n"/>
      <c r="C965" s="36">
        <f>IF(OR(B965="",B964=""),"",B965-B964)</f>
        <v/>
      </c>
      <c r="D965" s="21">
        <f>IF(B965="","",B965/Settings!$B$3^2)</f>
        <v/>
      </c>
      <c r="E965" s="21">
        <f>IF(B965="","",AVERAGE(B959:B965))</f>
        <v/>
      </c>
      <c r="F965" s="36">
        <f>IF(B965="","",B965-Settings!$B$4)</f>
        <v/>
      </c>
    </row>
    <row r="966">
      <c r="A966" s="35" t="n"/>
      <c r="B966" s="30" t="n"/>
      <c r="C966" s="36">
        <f>IF(OR(B966="",B965=""),"",B966-B965)</f>
        <v/>
      </c>
      <c r="D966" s="21">
        <f>IF(B966="","",B966/Settings!$B$3^2)</f>
        <v/>
      </c>
      <c r="E966" s="21">
        <f>IF(B966="","",AVERAGE(B960:B966))</f>
        <v/>
      </c>
      <c r="F966" s="36">
        <f>IF(B966="","",B966-Settings!$B$4)</f>
        <v/>
      </c>
    </row>
    <row r="967">
      <c r="A967" s="35" t="n"/>
      <c r="B967" s="30" t="n"/>
      <c r="C967" s="36">
        <f>IF(OR(B967="",B966=""),"",B967-B966)</f>
        <v/>
      </c>
      <c r="D967" s="21">
        <f>IF(B967="","",B967/Settings!$B$3^2)</f>
        <v/>
      </c>
      <c r="E967" s="21">
        <f>IF(B967="","",AVERAGE(B961:B967))</f>
        <v/>
      </c>
      <c r="F967" s="36">
        <f>IF(B967="","",B967-Settings!$B$4)</f>
        <v/>
      </c>
    </row>
    <row r="968">
      <c r="A968" s="35" t="n"/>
      <c r="B968" s="30" t="n"/>
      <c r="C968" s="36">
        <f>IF(OR(B968="",B967=""),"",B968-B967)</f>
        <v/>
      </c>
      <c r="D968" s="21">
        <f>IF(B968="","",B968/Settings!$B$3^2)</f>
        <v/>
      </c>
      <c r="E968" s="21">
        <f>IF(B968="","",AVERAGE(B962:B968))</f>
        <v/>
      </c>
      <c r="F968" s="36">
        <f>IF(B968="","",B968-Settings!$B$4)</f>
        <v/>
      </c>
    </row>
    <row r="969">
      <c r="A969" s="35" t="n"/>
      <c r="B969" s="30" t="n"/>
      <c r="C969" s="36">
        <f>IF(OR(B969="",B968=""),"",B969-B968)</f>
        <v/>
      </c>
      <c r="D969" s="21">
        <f>IF(B969="","",B969/Settings!$B$3^2)</f>
        <v/>
      </c>
      <c r="E969" s="21">
        <f>IF(B969="","",AVERAGE(B963:B969))</f>
        <v/>
      </c>
      <c r="F969" s="36">
        <f>IF(B969="","",B969-Settings!$B$4)</f>
        <v/>
      </c>
    </row>
    <row r="970">
      <c r="A970" s="35" t="n"/>
      <c r="B970" s="30" t="n"/>
      <c r="C970" s="36">
        <f>IF(OR(B970="",B969=""),"",B970-B969)</f>
        <v/>
      </c>
      <c r="D970" s="21">
        <f>IF(B970="","",B970/Settings!$B$3^2)</f>
        <v/>
      </c>
      <c r="E970" s="21">
        <f>IF(B970="","",AVERAGE(B964:B970))</f>
        <v/>
      </c>
      <c r="F970" s="36">
        <f>IF(B970="","",B970-Settings!$B$4)</f>
        <v/>
      </c>
    </row>
    <row r="971">
      <c r="A971" s="35" t="n"/>
      <c r="B971" s="30" t="n"/>
      <c r="C971" s="36">
        <f>IF(OR(B971="",B970=""),"",B971-B970)</f>
        <v/>
      </c>
      <c r="D971" s="21">
        <f>IF(B971="","",B971/Settings!$B$3^2)</f>
        <v/>
      </c>
      <c r="E971" s="21">
        <f>IF(B971="","",AVERAGE(B965:B971))</f>
        <v/>
      </c>
      <c r="F971" s="36">
        <f>IF(B971="","",B971-Settings!$B$4)</f>
        <v/>
      </c>
    </row>
    <row r="972">
      <c r="A972" s="35" t="n"/>
      <c r="B972" s="30" t="n"/>
      <c r="C972" s="36">
        <f>IF(OR(B972="",B971=""),"",B972-B971)</f>
        <v/>
      </c>
      <c r="D972" s="21">
        <f>IF(B972="","",B972/Settings!$B$3^2)</f>
        <v/>
      </c>
      <c r="E972" s="21">
        <f>IF(B972="","",AVERAGE(B966:B972))</f>
        <v/>
      </c>
      <c r="F972" s="36">
        <f>IF(B972="","",B972-Settings!$B$4)</f>
        <v/>
      </c>
    </row>
    <row r="973">
      <c r="A973" s="35" t="n"/>
      <c r="B973" s="30" t="n"/>
      <c r="C973" s="36">
        <f>IF(OR(B973="",B972=""),"",B973-B972)</f>
        <v/>
      </c>
      <c r="D973" s="21">
        <f>IF(B973="","",B973/Settings!$B$3^2)</f>
        <v/>
      </c>
      <c r="E973" s="21">
        <f>IF(B973="","",AVERAGE(B967:B973))</f>
        <v/>
      </c>
      <c r="F973" s="36">
        <f>IF(B973="","",B973-Settings!$B$4)</f>
        <v/>
      </c>
    </row>
    <row r="974">
      <c r="A974" s="35" t="n"/>
      <c r="B974" s="30" t="n"/>
      <c r="C974" s="36">
        <f>IF(OR(B974="",B973=""),"",B974-B973)</f>
        <v/>
      </c>
      <c r="D974" s="21">
        <f>IF(B974="","",B974/Settings!$B$3^2)</f>
        <v/>
      </c>
      <c r="E974" s="21">
        <f>IF(B974="","",AVERAGE(B968:B974))</f>
        <v/>
      </c>
      <c r="F974" s="36">
        <f>IF(B974="","",B974-Settings!$B$4)</f>
        <v/>
      </c>
    </row>
    <row r="975">
      <c r="A975" s="35" t="n"/>
      <c r="B975" s="30" t="n"/>
      <c r="C975" s="36">
        <f>IF(OR(B975="",B974=""),"",B975-B974)</f>
        <v/>
      </c>
      <c r="D975" s="21">
        <f>IF(B975="","",B975/Settings!$B$3^2)</f>
        <v/>
      </c>
      <c r="E975" s="21">
        <f>IF(B975="","",AVERAGE(B969:B975))</f>
        <v/>
      </c>
      <c r="F975" s="36">
        <f>IF(B975="","",B975-Settings!$B$4)</f>
        <v/>
      </c>
    </row>
    <row r="976">
      <c r="A976" s="35" t="n"/>
      <c r="B976" s="30" t="n"/>
      <c r="C976" s="36">
        <f>IF(OR(B976="",B975=""),"",B976-B975)</f>
        <v/>
      </c>
      <c r="D976" s="21">
        <f>IF(B976="","",B976/Settings!$B$3^2)</f>
        <v/>
      </c>
      <c r="E976" s="21">
        <f>IF(B976="","",AVERAGE(B970:B976))</f>
        <v/>
      </c>
      <c r="F976" s="36">
        <f>IF(B976="","",B976-Settings!$B$4)</f>
        <v/>
      </c>
    </row>
    <row r="977">
      <c r="A977" s="35" t="n"/>
      <c r="B977" s="30" t="n"/>
      <c r="C977" s="36">
        <f>IF(OR(B977="",B976=""),"",B977-B976)</f>
        <v/>
      </c>
      <c r="D977" s="21">
        <f>IF(B977="","",B977/Settings!$B$3^2)</f>
        <v/>
      </c>
      <c r="E977" s="21">
        <f>IF(B977="","",AVERAGE(B971:B977))</f>
        <v/>
      </c>
      <c r="F977" s="36">
        <f>IF(B977="","",B977-Settings!$B$4)</f>
        <v/>
      </c>
    </row>
    <row r="978">
      <c r="A978" s="35" t="n"/>
      <c r="B978" s="30" t="n"/>
      <c r="C978" s="36">
        <f>IF(OR(B978="",B977=""),"",B978-B977)</f>
        <v/>
      </c>
      <c r="D978" s="21">
        <f>IF(B978="","",B978/Settings!$B$3^2)</f>
        <v/>
      </c>
      <c r="E978" s="21">
        <f>IF(B978="","",AVERAGE(B972:B978))</f>
        <v/>
      </c>
      <c r="F978" s="36">
        <f>IF(B978="","",B978-Settings!$B$4)</f>
        <v/>
      </c>
    </row>
    <row r="979">
      <c r="A979" s="35" t="n"/>
      <c r="B979" s="30" t="n"/>
      <c r="C979" s="36">
        <f>IF(OR(B979="",B978=""),"",B979-B978)</f>
        <v/>
      </c>
      <c r="D979" s="21">
        <f>IF(B979="","",B979/Settings!$B$3^2)</f>
        <v/>
      </c>
      <c r="E979" s="21">
        <f>IF(B979="","",AVERAGE(B973:B979))</f>
        <v/>
      </c>
      <c r="F979" s="36">
        <f>IF(B979="","",B979-Settings!$B$4)</f>
        <v/>
      </c>
    </row>
    <row r="980">
      <c r="A980" s="35" t="n"/>
      <c r="B980" s="30" t="n"/>
      <c r="C980" s="36">
        <f>IF(OR(B980="",B979=""),"",B980-B979)</f>
        <v/>
      </c>
      <c r="D980" s="21">
        <f>IF(B980="","",B980/Settings!$B$3^2)</f>
        <v/>
      </c>
      <c r="E980" s="21">
        <f>IF(B980="","",AVERAGE(B974:B980))</f>
        <v/>
      </c>
      <c r="F980" s="36">
        <f>IF(B980="","",B980-Settings!$B$4)</f>
        <v/>
      </c>
    </row>
    <row r="981">
      <c r="A981" s="35" t="n"/>
      <c r="B981" s="30" t="n"/>
      <c r="C981" s="36">
        <f>IF(OR(B981="",B980=""),"",B981-B980)</f>
        <v/>
      </c>
      <c r="D981" s="21">
        <f>IF(B981="","",B981/Settings!$B$3^2)</f>
        <v/>
      </c>
      <c r="E981" s="21">
        <f>IF(B981="","",AVERAGE(B975:B981))</f>
        <v/>
      </c>
      <c r="F981" s="36">
        <f>IF(B981="","",B981-Settings!$B$4)</f>
        <v/>
      </c>
    </row>
    <row r="982">
      <c r="A982" s="35" t="n"/>
      <c r="B982" s="30" t="n"/>
      <c r="C982" s="36">
        <f>IF(OR(B982="",B981=""),"",B982-B981)</f>
        <v/>
      </c>
      <c r="D982" s="21">
        <f>IF(B982="","",B982/Settings!$B$3^2)</f>
        <v/>
      </c>
      <c r="E982" s="21">
        <f>IF(B982="","",AVERAGE(B976:B982))</f>
        <v/>
      </c>
      <c r="F982" s="36">
        <f>IF(B982="","",B982-Settings!$B$4)</f>
        <v/>
      </c>
    </row>
    <row r="983">
      <c r="A983" s="35" t="n"/>
      <c r="B983" s="30" t="n"/>
      <c r="C983" s="36">
        <f>IF(OR(B983="",B982=""),"",B983-B982)</f>
        <v/>
      </c>
      <c r="D983" s="21">
        <f>IF(B983="","",B983/Settings!$B$3^2)</f>
        <v/>
      </c>
      <c r="E983" s="21">
        <f>IF(B983="","",AVERAGE(B977:B983))</f>
        <v/>
      </c>
      <c r="F983" s="36">
        <f>IF(B983="","",B983-Settings!$B$4)</f>
        <v/>
      </c>
    </row>
    <row r="984">
      <c r="A984" s="35" t="n"/>
      <c r="B984" s="30" t="n"/>
      <c r="C984" s="36">
        <f>IF(OR(B984="",B983=""),"",B984-B983)</f>
        <v/>
      </c>
      <c r="D984" s="21">
        <f>IF(B984="","",B984/Settings!$B$3^2)</f>
        <v/>
      </c>
      <c r="E984" s="21">
        <f>IF(B984="","",AVERAGE(B978:B984))</f>
        <v/>
      </c>
      <c r="F984" s="36">
        <f>IF(B984="","",B984-Settings!$B$4)</f>
        <v/>
      </c>
    </row>
    <row r="985">
      <c r="A985" s="35" t="n"/>
      <c r="B985" s="30" t="n"/>
      <c r="C985" s="36">
        <f>IF(OR(B985="",B984=""),"",B985-B984)</f>
        <v/>
      </c>
      <c r="D985" s="21">
        <f>IF(B985="","",B985/Settings!$B$3^2)</f>
        <v/>
      </c>
      <c r="E985" s="21">
        <f>IF(B985="","",AVERAGE(B979:B985))</f>
        <v/>
      </c>
      <c r="F985" s="36">
        <f>IF(B985="","",B985-Settings!$B$4)</f>
        <v/>
      </c>
    </row>
    <row r="986">
      <c r="A986" s="35" t="n"/>
      <c r="B986" s="30" t="n"/>
      <c r="C986" s="36">
        <f>IF(OR(B986="",B985=""),"",B986-B985)</f>
        <v/>
      </c>
      <c r="D986" s="21">
        <f>IF(B986="","",B986/Settings!$B$3^2)</f>
        <v/>
      </c>
      <c r="E986" s="21">
        <f>IF(B986="","",AVERAGE(B980:B986))</f>
        <v/>
      </c>
      <c r="F986" s="36">
        <f>IF(B986="","",B986-Settings!$B$4)</f>
        <v/>
      </c>
    </row>
    <row r="987">
      <c r="A987" s="35" t="n"/>
      <c r="B987" s="30" t="n"/>
      <c r="C987" s="36">
        <f>IF(OR(B987="",B986=""),"",B987-B986)</f>
        <v/>
      </c>
      <c r="D987" s="21">
        <f>IF(B987="","",B987/Settings!$B$3^2)</f>
        <v/>
      </c>
      <c r="E987" s="21">
        <f>IF(B987="","",AVERAGE(B981:B987))</f>
        <v/>
      </c>
      <c r="F987" s="36">
        <f>IF(B987="","",B987-Settings!$B$4)</f>
        <v/>
      </c>
    </row>
    <row r="988">
      <c r="A988" s="35" t="n"/>
      <c r="B988" s="30" t="n"/>
      <c r="C988" s="36">
        <f>IF(OR(B988="",B987=""),"",B988-B987)</f>
        <v/>
      </c>
      <c r="D988" s="21">
        <f>IF(B988="","",B988/Settings!$B$3^2)</f>
        <v/>
      </c>
      <c r="E988" s="21">
        <f>IF(B988="","",AVERAGE(B982:B988))</f>
        <v/>
      </c>
      <c r="F988" s="36">
        <f>IF(B988="","",B988-Settings!$B$4)</f>
        <v/>
      </c>
    </row>
    <row r="989">
      <c r="A989" s="35" t="n"/>
      <c r="B989" s="30" t="n"/>
      <c r="C989" s="36">
        <f>IF(OR(B989="",B988=""),"",B989-B988)</f>
        <v/>
      </c>
      <c r="D989" s="21">
        <f>IF(B989="","",B989/Settings!$B$3^2)</f>
        <v/>
      </c>
      <c r="E989" s="21">
        <f>IF(B989="","",AVERAGE(B983:B989))</f>
        <v/>
      </c>
      <c r="F989" s="36">
        <f>IF(B989="","",B989-Settings!$B$4)</f>
        <v/>
      </c>
    </row>
    <row r="990">
      <c r="A990" s="35" t="n"/>
      <c r="B990" s="30" t="n"/>
      <c r="C990" s="36">
        <f>IF(OR(B990="",B989=""),"",B990-B989)</f>
        <v/>
      </c>
      <c r="D990" s="21">
        <f>IF(B990="","",B990/Settings!$B$3^2)</f>
        <v/>
      </c>
      <c r="E990" s="21">
        <f>IF(B990="","",AVERAGE(B984:B990))</f>
        <v/>
      </c>
      <c r="F990" s="36">
        <f>IF(B990="","",B990-Settings!$B$4)</f>
        <v/>
      </c>
    </row>
    <row r="991">
      <c r="A991" s="35" t="n"/>
      <c r="B991" s="30" t="n"/>
      <c r="C991" s="36">
        <f>IF(OR(B991="",B990=""),"",B991-B990)</f>
        <v/>
      </c>
      <c r="D991" s="21">
        <f>IF(B991="","",B991/Settings!$B$3^2)</f>
        <v/>
      </c>
      <c r="E991" s="21">
        <f>IF(B991="","",AVERAGE(B985:B991))</f>
        <v/>
      </c>
      <c r="F991" s="36">
        <f>IF(B991="","",B991-Settings!$B$4)</f>
        <v/>
      </c>
    </row>
    <row r="992">
      <c r="A992" s="35" t="n"/>
      <c r="B992" s="30" t="n"/>
      <c r="C992" s="36">
        <f>IF(OR(B992="",B991=""),"",B992-B991)</f>
        <v/>
      </c>
      <c r="D992" s="21">
        <f>IF(B992="","",B992/Settings!$B$3^2)</f>
        <v/>
      </c>
      <c r="E992" s="21">
        <f>IF(B992="","",AVERAGE(B986:B992))</f>
        <v/>
      </c>
      <c r="F992" s="36">
        <f>IF(B992="","",B992-Settings!$B$4)</f>
        <v/>
      </c>
    </row>
    <row r="993">
      <c r="A993" s="35" t="n"/>
      <c r="B993" s="30" t="n"/>
      <c r="C993" s="36">
        <f>IF(OR(B993="",B992=""),"",B993-B992)</f>
        <v/>
      </c>
      <c r="D993" s="21">
        <f>IF(B993="","",B993/Settings!$B$3^2)</f>
        <v/>
      </c>
      <c r="E993" s="21">
        <f>IF(B993="","",AVERAGE(B987:B993))</f>
        <v/>
      </c>
      <c r="F993" s="36">
        <f>IF(B993="","",B993-Settings!$B$4)</f>
        <v/>
      </c>
    </row>
    <row r="994">
      <c r="A994" s="35" t="n"/>
      <c r="B994" s="30" t="n"/>
      <c r="C994" s="36">
        <f>IF(OR(B994="",B993=""),"",B994-B993)</f>
        <v/>
      </c>
      <c r="D994" s="21">
        <f>IF(B994="","",B994/Settings!$B$3^2)</f>
        <v/>
      </c>
      <c r="E994" s="21">
        <f>IF(B994="","",AVERAGE(B988:B994))</f>
        <v/>
      </c>
      <c r="F994" s="36">
        <f>IF(B994="","",B994-Settings!$B$4)</f>
        <v/>
      </c>
    </row>
    <row r="995">
      <c r="A995" s="35" t="n"/>
      <c r="B995" s="30" t="n"/>
      <c r="C995" s="36">
        <f>IF(OR(B995="",B994=""),"",B995-B994)</f>
        <v/>
      </c>
      <c r="D995" s="21">
        <f>IF(B995="","",B995/Settings!$B$3^2)</f>
        <v/>
      </c>
      <c r="E995" s="21">
        <f>IF(B995="","",AVERAGE(B989:B995))</f>
        <v/>
      </c>
      <c r="F995" s="36">
        <f>IF(B995="","",B995-Settings!$B$4)</f>
        <v/>
      </c>
    </row>
    <row r="996">
      <c r="A996" s="35" t="n"/>
      <c r="B996" s="30" t="n"/>
      <c r="C996" s="36">
        <f>IF(OR(B996="",B995=""),"",B996-B995)</f>
        <v/>
      </c>
      <c r="D996" s="21">
        <f>IF(B996="","",B996/Settings!$B$3^2)</f>
        <v/>
      </c>
      <c r="E996" s="21">
        <f>IF(B996="","",AVERAGE(B990:B996))</f>
        <v/>
      </c>
      <c r="F996" s="36">
        <f>IF(B996="","",B996-Settings!$B$4)</f>
        <v/>
      </c>
    </row>
    <row r="997">
      <c r="A997" s="35" t="n"/>
      <c r="B997" s="30" t="n"/>
      <c r="C997" s="36">
        <f>IF(OR(B997="",B996=""),"",B997-B996)</f>
        <v/>
      </c>
      <c r="D997" s="21">
        <f>IF(B997="","",B997/Settings!$B$3^2)</f>
        <v/>
      </c>
      <c r="E997" s="21">
        <f>IF(B997="","",AVERAGE(B991:B997))</f>
        <v/>
      </c>
      <c r="F997" s="36">
        <f>IF(B997="","",B997-Settings!$B$4)</f>
        <v/>
      </c>
    </row>
    <row r="998">
      <c r="A998" s="35" t="n"/>
      <c r="B998" s="30" t="n"/>
      <c r="C998" s="36">
        <f>IF(OR(B998="",B997=""),"",B998-B997)</f>
        <v/>
      </c>
      <c r="D998" s="21">
        <f>IF(B998="","",B998/Settings!$B$3^2)</f>
        <v/>
      </c>
      <c r="E998" s="21">
        <f>IF(B998="","",AVERAGE(B992:B998))</f>
        <v/>
      </c>
      <c r="F998" s="36">
        <f>IF(B998="","",B998-Settings!$B$4)</f>
        <v/>
      </c>
    </row>
    <row r="999">
      <c r="A999" s="35" t="n"/>
      <c r="B999" s="30" t="n"/>
      <c r="C999" s="36">
        <f>IF(OR(B999="",B998=""),"",B999-B998)</f>
        <v/>
      </c>
      <c r="D999" s="21">
        <f>IF(B999="","",B999/Settings!$B$3^2)</f>
        <v/>
      </c>
      <c r="E999" s="21">
        <f>IF(B999="","",AVERAGE(B993:B999))</f>
        <v/>
      </c>
      <c r="F999" s="36">
        <f>IF(B999="","",B999-Settings!$B$4)</f>
        <v/>
      </c>
    </row>
    <row r="1000">
      <c r="A1000" s="35" t="n"/>
      <c r="B1000" s="30" t="n"/>
      <c r="C1000" s="36">
        <f>IF(OR(B1000="",B999=""),"",B1000-B999)</f>
        <v/>
      </c>
      <c r="D1000" s="21">
        <f>IF(B1000="","",B1000/Settings!$B$3^2)</f>
        <v/>
      </c>
      <c r="E1000" s="21">
        <f>IF(B1000="","",AVERAGE(B994:B1000))</f>
        <v/>
      </c>
      <c r="F1000" s="36">
        <f>IF(B1000="","",B1000-Settings!$B$4)</f>
        <v/>
      </c>
    </row>
  </sheetData>
  <conditionalFormatting sqref="C3:C1000">
    <cfRule type="cellIs" priority="1" operator="lessThan" dxfId="1">
      <formula>0</formula>
    </cfRule>
    <cfRule type="cellIs" priority="2" operator="greaterThan" dxfId="2">
      <formula>0</formula>
    </cfRule>
  </conditionalFormatting>
  <dataValidations count="2">
    <dataValidation sqref="A2:A1000" showDropDown="0" showInputMessage="0" showErrorMessage="1" allowBlank="0" error="Enter a valid date." type="date" operator="between">
      <formula1>DATE(2000,1,1)</formula1>
      <formula2>DATE(2100,12,31)</formula2>
    </dataValidation>
    <dataValidation sqref="B2:B1000" showDropDown="0" showInputMessage="0" showErrorMessage="1" allowBlank="0" error="Weight must be between 20 and 400 kg." type="decimal" operator="between">
      <formula1>20</formula1>
      <formula2>400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11" customWidth="1" min="4" max="4"/>
    <col width="30" customWidth="1" min="5" max="5"/>
    <col width="8" customWidth="1" min="6" max="6"/>
    <col width="11" customWidth="1" min="7" max="7"/>
    <col width="12" customWidth="1" min="8" max="8"/>
    <col width="7" customWidth="1" min="9" max="9"/>
    <col width="13" customWidth="1" min="10" max="10"/>
  </cols>
  <sheetData>
    <row r="1" ht="30" customHeight="1">
      <c r="A1" s="32" t="inlineStr">
        <is>
          <t>Date</t>
        </is>
      </c>
      <c r="B1" s="32" t="inlineStr">
        <is>
          <t>Activity</t>
        </is>
      </c>
      <c r="C1" s="32" t="inlineStr">
        <is>
          <t>Duration (min)</t>
        </is>
      </c>
      <c r="D1" s="32" t="inlineStr">
        <is>
          <t>Distance (km)</t>
        </is>
      </c>
      <c r="E1" s="32" t="inlineStr">
        <is>
          <t>Notes</t>
        </is>
      </c>
      <c r="F1" s="32" t="inlineStr">
        <is>
          <t>Week</t>
        </is>
      </c>
      <c r="G1" s="32" t="inlineStr">
        <is>
          <t>Pace (min/km)</t>
        </is>
      </c>
      <c r="H1" s="32" t="inlineStr">
        <is>
          <t>Weight used (kg)</t>
        </is>
      </c>
      <c r="I1" s="32" t="inlineStr">
        <is>
          <t>MET</t>
        </is>
      </c>
      <c r="J1" s="32" t="inlineStr">
        <is>
          <t>Calories (kcal, est.)</t>
        </is>
      </c>
    </row>
    <row r="2">
      <c r="A2" s="35" t="n">
        <v>46296</v>
      </c>
      <c r="B2" s="33" t="inlineStr">
        <is>
          <t>Running</t>
        </is>
      </c>
      <c r="C2" s="31" t="n">
        <v>40</v>
      </c>
      <c r="D2" s="30" t="n">
        <v>7.2</v>
      </c>
      <c r="E2" s="33" t="inlineStr">
        <is>
          <t>Example row - overwrite or delete</t>
        </is>
      </c>
      <c r="F2" s="20">
        <f>IF(A2="","",WEEKNUM(A2,21))</f>
        <v/>
      </c>
      <c r="G2" s="21">
        <f>IF(OR(C2="",N(D2)=0),"",C2/D2)</f>
        <v/>
      </c>
      <c r="H2" s="21">
        <f>IF(A2="","",IFERROR(INDEX(Weight!$B$2:$B$1000,MATCH(IF(_xlfn.MAXIFS(Weight!$A$2:$A$1000,Weight!$A$2:$A$1000,"&lt;="&amp;A2)&gt;0,_xlfn.MAXIFS(Weight!$A$2:$A$1000,Weight!$A$2:$A$1000,"&lt;="&amp;A2),_xlfn.MINIFS(Weight!$A$2:$A$1000,Weight!$A$2:$A$1000,"&gt;0")),Weight!$A$2:$A$1000,0)),Settings!$B$6))</f>
        <v/>
      </c>
      <c r="I2" s="21">
        <f>IF(B2="","",IFERROR(INDEX(Settings!$B$10:$B$21,MATCH(B2,Settings!$A$10:$A$21,0)),4))</f>
        <v/>
      </c>
      <c r="J2" s="22">
        <f>IF(OR(A2="",C2="",I2=""),"",I2*H2*C2/60)</f>
        <v/>
      </c>
    </row>
    <row r="3">
      <c r="A3" s="35" t="n"/>
      <c r="B3" s="33" t="n"/>
      <c r="C3" s="31" t="n"/>
      <c r="D3" s="30" t="n"/>
      <c r="E3" s="33" t="n"/>
      <c r="F3" s="20">
        <f>IF(A3="","",WEEKNUM(A3,21))</f>
        <v/>
      </c>
      <c r="G3" s="21">
        <f>IF(OR(C3="",N(D3)=0),"",C3/D3)</f>
        <v/>
      </c>
      <c r="H3" s="21">
        <f>IF(A3="","",IFERROR(INDEX(Weight!$B$2:$B$1000,MATCH(IF(_xlfn.MAXIFS(Weight!$A$2:$A$1000,Weight!$A$2:$A$1000,"&lt;="&amp;A3)&gt;0,_xlfn.MAXIFS(Weight!$A$2:$A$1000,Weight!$A$2:$A$1000,"&lt;="&amp;A3),_xlfn.MINIFS(Weight!$A$2:$A$1000,Weight!$A$2:$A$1000,"&gt;0")),Weight!$A$2:$A$1000,0)),Settings!$B$6))</f>
        <v/>
      </c>
      <c r="I3" s="21">
        <f>IF(B3="","",IFERROR(INDEX(Settings!$B$10:$B$21,MATCH(B3,Settings!$A$10:$A$21,0)),4))</f>
        <v/>
      </c>
      <c r="J3" s="22">
        <f>IF(OR(A3="",C3="",I3=""),"",I3*H3*C3/60)</f>
        <v/>
      </c>
    </row>
    <row r="4">
      <c r="A4" s="35" t="n"/>
      <c r="B4" s="33" t="n"/>
      <c r="C4" s="31" t="n"/>
      <c r="D4" s="30" t="n"/>
      <c r="E4" s="33" t="n"/>
      <c r="F4" s="20">
        <f>IF(A4="","",WEEKNUM(A4,21))</f>
        <v/>
      </c>
      <c r="G4" s="21">
        <f>IF(OR(C4="",N(D4)=0),"",C4/D4)</f>
        <v/>
      </c>
      <c r="H4" s="21">
        <f>IF(A4="","",IFERROR(INDEX(Weight!$B$2:$B$1000,MATCH(IF(_xlfn.MAXIFS(Weight!$A$2:$A$1000,Weight!$A$2:$A$1000,"&lt;="&amp;A4)&gt;0,_xlfn.MAXIFS(Weight!$A$2:$A$1000,Weight!$A$2:$A$1000,"&lt;="&amp;A4),_xlfn.MINIFS(Weight!$A$2:$A$1000,Weight!$A$2:$A$1000,"&gt;0")),Weight!$A$2:$A$1000,0)),Settings!$B$6))</f>
        <v/>
      </c>
      <c r="I4" s="21">
        <f>IF(B4="","",IFERROR(INDEX(Settings!$B$10:$B$21,MATCH(B4,Settings!$A$10:$A$21,0)),4))</f>
        <v/>
      </c>
      <c r="J4" s="22">
        <f>IF(OR(A4="",C4="",I4=""),"",I4*H4*C4/60)</f>
        <v/>
      </c>
    </row>
    <row r="5">
      <c r="A5" s="35" t="n"/>
      <c r="B5" s="33" t="n"/>
      <c r="C5" s="31" t="n"/>
      <c r="D5" s="30" t="n"/>
      <c r="E5" s="33" t="n"/>
      <c r="F5" s="20">
        <f>IF(A5="","",WEEKNUM(A5,21))</f>
        <v/>
      </c>
      <c r="G5" s="21">
        <f>IF(OR(C5="",N(D5)=0),"",C5/D5)</f>
        <v/>
      </c>
      <c r="H5" s="21">
        <f>IF(A5="","",IFERROR(INDEX(Weight!$B$2:$B$1000,MATCH(IF(_xlfn.MAXIFS(Weight!$A$2:$A$1000,Weight!$A$2:$A$1000,"&lt;="&amp;A5)&gt;0,_xlfn.MAXIFS(Weight!$A$2:$A$1000,Weight!$A$2:$A$1000,"&lt;="&amp;A5),_xlfn.MINIFS(Weight!$A$2:$A$1000,Weight!$A$2:$A$1000,"&gt;0")),Weight!$A$2:$A$1000,0)),Settings!$B$6))</f>
        <v/>
      </c>
      <c r="I5" s="21">
        <f>IF(B5="","",IFERROR(INDEX(Settings!$B$10:$B$21,MATCH(B5,Settings!$A$10:$A$21,0)),4))</f>
        <v/>
      </c>
      <c r="J5" s="22">
        <f>IF(OR(A5="",C5="",I5=""),"",I5*H5*C5/60)</f>
        <v/>
      </c>
    </row>
    <row r="6">
      <c r="A6" s="35" t="n"/>
      <c r="B6" s="33" t="n"/>
      <c r="C6" s="31" t="n"/>
      <c r="D6" s="30" t="n"/>
      <c r="E6" s="33" t="n"/>
      <c r="F6" s="20">
        <f>IF(A6="","",WEEKNUM(A6,21))</f>
        <v/>
      </c>
      <c r="G6" s="21">
        <f>IF(OR(C6="",N(D6)=0),"",C6/D6)</f>
        <v/>
      </c>
      <c r="H6" s="21">
        <f>IF(A6="","",IFERROR(INDEX(Weight!$B$2:$B$1000,MATCH(IF(_xlfn.MAXIFS(Weight!$A$2:$A$1000,Weight!$A$2:$A$1000,"&lt;="&amp;A6)&gt;0,_xlfn.MAXIFS(Weight!$A$2:$A$1000,Weight!$A$2:$A$1000,"&lt;="&amp;A6),_xlfn.MINIFS(Weight!$A$2:$A$1000,Weight!$A$2:$A$1000,"&gt;0")),Weight!$A$2:$A$1000,0)),Settings!$B$6))</f>
        <v/>
      </c>
      <c r="I6" s="21">
        <f>IF(B6="","",IFERROR(INDEX(Settings!$B$10:$B$21,MATCH(B6,Settings!$A$10:$A$21,0)),4))</f>
        <v/>
      </c>
      <c r="J6" s="22">
        <f>IF(OR(A6="",C6="",I6=""),"",I6*H6*C6/60)</f>
        <v/>
      </c>
    </row>
    <row r="7">
      <c r="A7" s="35" t="n"/>
      <c r="B7" s="33" t="n"/>
      <c r="C7" s="31" t="n"/>
      <c r="D7" s="30" t="n"/>
      <c r="E7" s="33" t="n"/>
      <c r="F7" s="20">
        <f>IF(A7="","",WEEKNUM(A7,21))</f>
        <v/>
      </c>
      <c r="G7" s="21">
        <f>IF(OR(C7="",N(D7)=0),"",C7/D7)</f>
        <v/>
      </c>
      <c r="H7" s="21">
        <f>IF(A7="","",IFERROR(INDEX(Weight!$B$2:$B$1000,MATCH(IF(_xlfn.MAXIFS(Weight!$A$2:$A$1000,Weight!$A$2:$A$1000,"&lt;="&amp;A7)&gt;0,_xlfn.MAXIFS(Weight!$A$2:$A$1000,Weight!$A$2:$A$1000,"&lt;="&amp;A7),_xlfn.MINIFS(Weight!$A$2:$A$1000,Weight!$A$2:$A$1000,"&gt;0")),Weight!$A$2:$A$1000,0)),Settings!$B$6))</f>
        <v/>
      </c>
      <c r="I7" s="21">
        <f>IF(B7="","",IFERROR(INDEX(Settings!$B$10:$B$21,MATCH(B7,Settings!$A$10:$A$21,0)),4))</f>
        <v/>
      </c>
      <c r="J7" s="22">
        <f>IF(OR(A7="",C7="",I7=""),"",I7*H7*C7/60)</f>
        <v/>
      </c>
    </row>
    <row r="8">
      <c r="A8" s="35" t="n"/>
      <c r="B8" s="33" t="n"/>
      <c r="C8" s="31" t="n"/>
      <c r="D8" s="30" t="n"/>
      <c r="E8" s="33" t="n"/>
      <c r="F8" s="20">
        <f>IF(A8="","",WEEKNUM(A8,21))</f>
        <v/>
      </c>
      <c r="G8" s="21">
        <f>IF(OR(C8="",N(D8)=0),"",C8/D8)</f>
        <v/>
      </c>
      <c r="H8" s="21">
        <f>IF(A8="","",IFERROR(INDEX(Weight!$B$2:$B$1000,MATCH(IF(_xlfn.MAXIFS(Weight!$A$2:$A$1000,Weight!$A$2:$A$1000,"&lt;="&amp;A8)&gt;0,_xlfn.MAXIFS(Weight!$A$2:$A$1000,Weight!$A$2:$A$1000,"&lt;="&amp;A8),_xlfn.MINIFS(Weight!$A$2:$A$1000,Weight!$A$2:$A$1000,"&gt;0")),Weight!$A$2:$A$1000,0)),Settings!$B$6))</f>
        <v/>
      </c>
      <c r="I8" s="21">
        <f>IF(B8="","",IFERROR(INDEX(Settings!$B$10:$B$21,MATCH(B8,Settings!$A$10:$A$21,0)),4))</f>
        <v/>
      </c>
      <c r="J8" s="22">
        <f>IF(OR(A8="",C8="",I8=""),"",I8*H8*C8/60)</f>
        <v/>
      </c>
    </row>
    <row r="9">
      <c r="A9" s="35" t="n"/>
      <c r="B9" s="33" t="n"/>
      <c r="C9" s="31" t="n"/>
      <c r="D9" s="30" t="n"/>
      <c r="E9" s="33" t="n"/>
      <c r="F9" s="20">
        <f>IF(A9="","",WEEKNUM(A9,21))</f>
        <v/>
      </c>
      <c r="G9" s="21">
        <f>IF(OR(C9="",N(D9)=0),"",C9/D9)</f>
        <v/>
      </c>
      <c r="H9" s="21">
        <f>IF(A9="","",IFERROR(INDEX(Weight!$B$2:$B$1000,MATCH(IF(_xlfn.MAXIFS(Weight!$A$2:$A$1000,Weight!$A$2:$A$1000,"&lt;="&amp;A9)&gt;0,_xlfn.MAXIFS(Weight!$A$2:$A$1000,Weight!$A$2:$A$1000,"&lt;="&amp;A9),_xlfn.MINIFS(Weight!$A$2:$A$1000,Weight!$A$2:$A$1000,"&gt;0")),Weight!$A$2:$A$1000,0)),Settings!$B$6))</f>
        <v/>
      </c>
      <c r="I9" s="21">
        <f>IF(B9="","",IFERROR(INDEX(Settings!$B$10:$B$21,MATCH(B9,Settings!$A$10:$A$21,0)),4))</f>
        <v/>
      </c>
      <c r="J9" s="22">
        <f>IF(OR(A9="",C9="",I9=""),"",I9*H9*C9/60)</f>
        <v/>
      </c>
    </row>
    <row r="10">
      <c r="A10" s="35" t="n"/>
      <c r="B10" s="33" t="n"/>
      <c r="C10" s="31" t="n"/>
      <c r="D10" s="30" t="n"/>
      <c r="E10" s="33" t="n"/>
      <c r="F10" s="20">
        <f>IF(A10="","",WEEKNUM(A10,21))</f>
        <v/>
      </c>
      <c r="G10" s="21">
        <f>IF(OR(C10="",N(D10)=0),"",C10/D10)</f>
        <v/>
      </c>
      <c r="H10" s="21">
        <f>IF(A10="","",IFERROR(INDEX(Weight!$B$2:$B$1000,MATCH(IF(_xlfn.MAXIFS(Weight!$A$2:$A$1000,Weight!$A$2:$A$1000,"&lt;="&amp;A10)&gt;0,_xlfn.MAXIFS(Weight!$A$2:$A$1000,Weight!$A$2:$A$1000,"&lt;="&amp;A10),_xlfn.MINIFS(Weight!$A$2:$A$1000,Weight!$A$2:$A$1000,"&gt;0")),Weight!$A$2:$A$1000,0)),Settings!$B$6))</f>
        <v/>
      </c>
      <c r="I10" s="21">
        <f>IF(B10="","",IFERROR(INDEX(Settings!$B$10:$B$21,MATCH(B10,Settings!$A$10:$A$21,0)),4))</f>
        <v/>
      </c>
      <c r="J10" s="22">
        <f>IF(OR(A10="",C10="",I10=""),"",I10*H10*C10/60)</f>
        <v/>
      </c>
    </row>
    <row r="11">
      <c r="A11" s="35" t="n"/>
      <c r="B11" s="33" t="n"/>
      <c r="C11" s="31" t="n"/>
      <c r="D11" s="30" t="n"/>
      <c r="E11" s="33" t="n"/>
      <c r="F11" s="20">
        <f>IF(A11="","",WEEKNUM(A11,21))</f>
        <v/>
      </c>
      <c r="G11" s="21">
        <f>IF(OR(C11="",N(D11)=0),"",C11/D11)</f>
        <v/>
      </c>
      <c r="H11" s="21">
        <f>IF(A11="","",IFERROR(INDEX(Weight!$B$2:$B$1000,MATCH(IF(_xlfn.MAXIFS(Weight!$A$2:$A$1000,Weight!$A$2:$A$1000,"&lt;="&amp;A11)&gt;0,_xlfn.MAXIFS(Weight!$A$2:$A$1000,Weight!$A$2:$A$1000,"&lt;="&amp;A11),_xlfn.MINIFS(Weight!$A$2:$A$1000,Weight!$A$2:$A$1000,"&gt;0")),Weight!$A$2:$A$1000,0)),Settings!$B$6))</f>
        <v/>
      </c>
      <c r="I11" s="21">
        <f>IF(B11="","",IFERROR(INDEX(Settings!$B$10:$B$21,MATCH(B11,Settings!$A$10:$A$21,0)),4))</f>
        <v/>
      </c>
      <c r="J11" s="22">
        <f>IF(OR(A11="",C11="",I11=""),"",I11*H11*C11/60)</f>
        <v/>
      </c>
    </row>
    <row r="12">
      <c r="A12" s="35" t="n"/>
      <c r="B12" s="33" t="n"/>
      <c r="C12" s="31" t="n"/>
      <c r="D12" s="30" t="n"/>
      <c r="E12" s="33" t="n"/>
      <c r="F12" s="20">
        <f>IF(A12="","",WEEKNUM(A12,21))</f>
        <v/>
      </c>
      <c r="G12" s="21">
        <f>IF(OR(C12="",N(D12)=0),"",C12/D12)</f>
        <v/>
      </c>
      <c r="H12" s="21">
        <f>IF(A12="","",IFERROR(INDEX(Weight!$B$2:$B$1000,MATCH(IF(_xlfn.MAXIFS(Weight!$A$2:$A$1000,Weight!$A$2:$A$1000,"&lt;="&amp;A12)&gt;0,_xlfn.MAXIFS(Weight!$A$2:$A$1000,Weight!$A$2:$A$1000,"&lt;="&amp;A12),_xlfn.MINIFS(Weight!$A$2:$A$1000,Weight!$A$2:$A$1000,"&gt;0")),Weight!$A$2:$A$1000,0)),Settings!$B$6))</f>
        <v/>
      </c>
      <c r="I12" s="21">
        <f>IF(B12="","",IFERROR(INDEX(Settings!$B$10:$B$21,MATCH(B12,Settings!$A$10:$A$21,0)),4))</f>
        <v/>
      </c>
      <c r="J12" s="22">
        <f>IF(OR(A12="",C12="",I12=""),"",I12*H12*C12/60)</f>
        <v/>
      </c>
    </row>
    <row r="13">
      <c r="A13" s="35" t="n"/>
      <c r="B13" s="33" t="n"/>
      <c r="C13" s="31" t="n"/>
      <c r="D13" s="30" t="n"/>
      <c r="E13" s="33" t="n"/>
      <c r="F13" s="20">
        <f>IF(A13="","",WEEKNUM(A13,21))</f>
        <v/>
      </c>
      <c r="G13" s="21">
        <f>IF(OR(C13="",N(D13)=0),"",C13/D13)</f>
        <v/>
      </c>
      <c r="H13" s="21">
        <f>IF(A13="","",IFERROR(INDEX(Weight!$B$2:$B$1000,MATCH(IF(_xlfn.MAXIFS(Weight!$A$2:$A$1000,Weight!$A$2:$A$1000,"&lt;="&amp;A13)&gt;0,_xlfn.MAXIFS(Weight!$A$2:$A$1000,Weight!$A$2:$A$1000,"&lt;="&amp;A13),_xlfn.MINIFS(Weight!$A$2:$A$1000,Weight!$A$2:$A$1000,"&gt;0")),Weight!$A$2:$A$1000,0)),Settings!$B$6))</f>
        <v/>
      </c>
      <c r="I13" s="21">
        <f>IF(B13="","",IFERROR(INDEX(Settings!$B$10:$B$21,MATCH(B13,Settings!$A$10:$A$21,0)),4))</f>
        <v/>
      </c>
      <c r="J13" s="22">
        <f>IF(OR(A13="",C13="",I13=""),"",I13*H13*C13/60)</f>
        <v/>
      </c>
    </row>
    <row r="14">
      <c r="A14" s="35" t="n"/>
      <c r="B14" s="33" t="n"/>
      <c r="C14" s="31" t="n"/>
      <c r="D14" s="30" t="n"/>
      <c r="E14" s="33" t="n"/>
      <c r="F14" s="20">
        <f>IF(A14="","",WEEKNUM(A14,21))</f>
        <v/>
      </c>
      <c r="G14" s="21">
        <f>IF(OR(C14="",N(D14)=0),"",C14/D14)</f>
        <v/>
      </c>
      <c r="H14" s="21">
        <f>IF(A14="","",IFERROR(INDEX(Weight!$B$2:$B$1000,MATCH(IF(_xlfn.MAXIFS(Weight!$A$2:$A$1000,Weight!$A$2:$A$1000,"&lt;="&amp;A14)&gt;0,_xlfn.MAXIFS(Weight!$A$2:$A$1000,Weight!$A$2:$A$1000,"&lt;="&amp;A14),_xlfn.MINIFS(Weight!$A$2:$A$1000,Weight!$A$2:$A$1000,"&gt;0")),Weight!$A$2:$A$1000,0)),Settings!$B$6))</f>
        <v/>
      </c>
      <c r="I14" s="21">
        <f>IF(B14="","",IFERROR(INDEX(Settings!$B$10:$B$21,MATCH(B14,Settings!$A$10:$A$21,0)),4))</f>
        <v/>
      </c>
      <c r="J14" s="22">
        <f>IF(OR(A14="",C14="",I14=""),"",I14*H14*C14/60)</f>
        <v/>
      </c>
    </row>
    <row r="15">
      <c r="A15" s="35" t="n"/>
      <c r="B15" s="33" t="n"/>
      <c r="C15" s="31" t="n"/>
      <c r="D15" s="30" t="n"/>
      <c r="E15" s="33" t="n"/>
      <c r="F15" s="20">
        <f>IF(A15="","",WEEKNUM(A15,21))</f>
        <v/>
      </c>
      <c r="G15" s="21">
        <f>IF(OR(C15="",N(D15)=0),"",C15/D15)</f>
        <v/>
      </c>
      <c r="H15" s="21">
        <f>IF(A15="","",IFERROR(INDEX(Weight!$B$2:$B$1000,MATCH(IF(_xlfn.MAXIFS(Weight!$A$2:$A$1000,Weight!$A$2:$A$1000,"&lt;="&amp;A15)&gt;0,_xlfn.MAXIFS(Weight!$A$2:$A$1000,Weight!$A$2:$A$1000,"&lt;="&amp;A15),_xlfn.MINIFS(Weight!$A$2:$A$1000,Weight!$A$2:$A$1000,"&gt;0")),Weight!$A$2:$A$1000,0)),Settings!$B$6))</f>
        <v/>
      </c>
      <c r="I15" s="21">
        <f>IF(B15="","",IFERROR(INDEX(Settings!$B$10:$B$21,MATCH(B15,Settings!$A$10:$A$21,0)),4))</f>
        <v/>
      </c>
      <c r="J15" s="22">
        <f>IF(OR(A15="",C15="",I15=""),"",I15*H15*C15/60)</f>
        <v/>
      </c>
    </row>
    <row r="16">
      <c r="A16" s="35" t="n"/>
      <c r="B16" s="33" t="n"/>
      <c r="C16" s="31" t="n"/>
      <c r="D16" s="30" t="n"/>
      <c r="E16" s="33" t="n"/>
      <c r="F16" s="20">
        <f>IF(A16="","",WEEKNUM(A16,21))</f>
        <v/>
      </c>
      <c r="G16" s="21">
        <f>IF(OR(C16="",N(D16)=0),"",C16/D16)</f>
        <v/>
      </c>
      <c r="H16" s="21">
        <f>IF(A16="","",IFERROR(INDEX(Weight!$B$2:$B$1000,MATCH(IF(_xlfn.MAXIFS(Weight!$A$2:$A$1000,Weight!$A$2:$A$1000,"&lt;="&amp;A16)&gt;0,_xlfn.MAXIFS(Weight!$A$2:$A$1000,Weight!$A$2:$A$1000,"&lt;="&amp;A16),_xlfn.MINIFS(Weight!$A$2:$A$1000,Weight!$A$2:$A$1000,"&gt;0")),Weight!$A$2:$A$1000,0)),Settings!$B$6))</f>
        <v/>
      </c>
      <c r="I16" s="21">
        <f>IF(B16="","",IFERROR(INDEX(Settings!$B$10:$B$21,MATCH(B16,Settings!$A$10:$A$21,0)),4))</f>
        <v/>
      </c>
      <c r="J16" s="22">
        <f>IF(OR(A16="",C16="",I16=""),"",I16*H16*C16/60)</f>
        <v/>
      </c>
    </row>
    <row r="17">
      <c r="A17" s="35" t="n"/>
      <c r="B17" s="33" t="n"/>
      <c r="C17" s="31" t="n"/>
      <c r="D17" s="30" t="n"/>
      <c r="E17" s="33" t="n"/>
      <c r="F17" s="20">
        <f>IF(A17="","",WEEKNUM(A17,21))</f>
        <v/>
      </c>
      <c r="G17" s="21">
        <f>IF(OR(C17="",N(D17)=0),"",C17/D17)</f>
        <v/>
      </c>
      <c r="H17" s="21">
        <f>IF(A17="","",IFERROR(INDEX(Weight!$B$2:$B$1000,MATCH(IF(_xlfn.MAXIFS(Weight!$A$2:$A$1000,Weight!$A$2:$A$1000,"&lt;="&amp;A17)&gt;0,_xlfn.MAXIFS(Weight!$A$2:$A$1000,Weight!$A$2:$A$1000,"&lt;="&amp;A17),_xlfn.MINIFS(Weight!$A$2:$A$1000,Weight!$A$2:$A$1000,"&gt;0")),Weight!$A$2:$A$1000,0)),Settings!$B$6))</f>
        <v/>
      </c>
      <c r="I17" s="21">
        <f>IF(B17="","",IFERROR(INDEX(Settings!$B$10:$B$21,MATCH(B17,Settings!$A$10:$A$21,0)),4))</f>
        <v/>
      </c>
      <c r="J17" s="22">
        <f>IF(OR(A17="",C17="",I17=""),"",I17*H17*C17/60)</f>
        <v/>
      </c>
    </row>
    <row r="18">
      <c r="A18" s="35" t="n"/>
      <c r="B18" s="33" t="n"/>
      <c r="C18" s="31" t="n"/>
      <c r="D18" s="30" t="n"/>
      <c r="E18" s="33" t="n"/>
      <c r="F18" s="20">
        <f>IF(A18="","",WEEKNUM(A18,21))</f>
        <v/>
      </c>
      <c r="G18" s="21">
        <f>IF(OR(C18="",N(D18)=0),"",C18/D18)</f>
        <v/>
      </c>
      <c r="H18" s="21">
        <f>IF(A18="","",IFERROR(INDEX(Weight!$B$2:$B$1000,MATCH(IF(_xlfn.MAXIFS(Weight!$A$2:$A$1000,Weight!$A$2:$A$1000,"&lt;="&amp;A18)&gt;0,_xlfn.MAXIFS(Weight!$A$2:$A$1000,Weight!$A$2:$A$1000,"&lt;="&amp;A18),_xlfn.MINIFS(Weight!$A$2:$A$1000,Weight!$A$2:$A$1000,"&gt;0")),Weight!$A$2:$A$1000,0)),Settings!$B$6))</f>
        <v/>
      </c>
      <c r="I18" s="21">
        <f>IF(B18="","",IFERROR(INDEX(Settings!$B$10:$B$21,MATCH(B18,Settings!$A$10:$A$21,0)),4))</f>
        <v/>
      </c>
      <c r="J18" s="22">
        <f>IF(OR(A18="",C18="",I18=""),"",I18*H18*C18/60)</f>
        <v/>
      </c>
    </row>
    <row r="19">
      <c r="A19" s="35" t="n"/>
      <c r="B19" s="33" t="n"/>
      <c r="C19" s="31" t="n"/>
      <c r="D19" s="30" t="n"/>
      <c r="E19" s="33" t="n"/>
      <c r="F19" s="20">
        <f>IF(A19="","",WEEKNUM(A19,21))</f>
        <v/>
      </c>
      <c r="G19" s="21">
        <f>IF(OR(C19="",N(D19)=0),"",C19/D19)</f>
        <v/>
      </c>
      <c r="H19" s="21">
        <f>IF(A19="","",IFERROR(INDEX(Weight!$B$2:$B$1000,MATCH(IF(_xlfn.MAXIFS(Weight!$A$2:$A$1000,Weight!$A$2:$A$1000,"&lt;="&amp;A19)&gt;0,_xlfn.MAXIFS(Weight!$A$2:$A$1000,Weight!$A$2:$A$1000,"&lt;="&amp;A19),_xlfn.MINIFS(Weight!$A$2:$A$1000,Weight!$A$2:$A$1000,"&gt;0")),Weight!$A$2:$A$1000,0)),Settings!$B$6))</f>
        <v/>
      </c>
      <c r="I19" s="21">
        <f>IF(B19="","",IFERROR(INDEX(Settings!$B$10:$B$21,MATCH(B19,Settings!$A$10:$A$21,0)),4))</f>
        <v/>
      </c>
      <c r="J19" s="22">
        <f>IF(OR(A19="",C19="",I19=""),"",I19*H19*C19/60)</f>
        <v/>
      </c>
    </row>
    <row r="20">
      <c r="A20" s="35" t="n"/>
      <c r="B20" s="33" t="n"/>
      <c r="C20" s="31" t="n"/>
      <c r="D20" s="30" t="n"/>
      <c r="E20" s="33" t="n"/>
      <c r="F20" s="20">
        <f>IF(A20="","",WEEKNUM(A20,21))</f>
        <v/>
      </c>
      <c r="G20" s="21">
        <f>IF(OR(C20="",N(D20)=0),"",C20/D20)</f>
        <v/>
      </c>
      <c r="H20" s="21">
        <f>IF(A20="","",IFERROR(INDEX(Weight!$B$2:$B$1000,MATCH(IF(_xlfn.MAXIFS(Weight!$A$2:$A$1000,Weight!$A$2:$A$1000,"&lt;="&amp;A20)&gt;0,_xlfn.MAXIFS(Weight!$A$2:$A$1000,Weight!$A$2:$A$1000,"&lt;="&amp;A20),_xlfn.MINIFS(Weight!$A$2:$A$1000,Weight!$A$2:$A$1000,"&gt;0")),Weight!$A$2:$A$1000,0)),Settings!$B$6))</f>
        <v/>
      </c>
      <c r="I20" s="21">
        <f>IF(B20="","",IFERROR(INDEX(Settings!$B$10:$B$21,MATCH(B20,Settings!$A$10:$A$21,0)),4))</f>
        <v/>
      </c>
      <c r="J20" s="22">
        <f>IF(OR(A20="",C20="",I20=""),"",I20*H20*C20/60)</f>
        <v/>
      </c>
    </row>
    <row r="21">
      <c r="A21" s="35" t="n"/>
      <c r="B21" s="33" t="n"/>
      <c r="C21" s="31" t="n"/>
      <c r="D21" s="30" t="n"/>
      <c r="E21" s="33" t="n"/>
      <c r="F21" s="20">
        <f>IF(A21="","",WEEKNUM(A21,21))</f>
        <v/>
      </c>
      <c r="G21" s="21">
        <f>IF(OR(C21="",N(D21)=0),"",C21/D21)</f>
        <v/>
      </c>
      <c r="H21" s="21">
        <f>IF(A21="","",IFERROR(INDEX(Weight!$B$2:$B$1000,MATCH(IF(_xlfn.MAXIFS(Weight!$A$2:$A$1000,Weight!$A$2:$A$1000,"&lt;="&amp;A21)&gt;0,_xlfn.MAXIFS(Weight!$A$2:$A$1000,Weight!$A$2:$A$1000,"&lt;="&amp;A21),_xlfn.MINIFS(Weight!$A$2:$A$1000,Weight!$A$2:$A$1000,"&gt;0")),Weight!$A$2:$A$1000,0)),Settings!$B$6))</f>
        <v/>
      </c>
      <c r="I21" s="21">
        <f>IF(B21="","",IFERROR(INDEX(Settings!$B$10:$B$21,MATCH(B21,Settings!$A$10:$A$21,0)),4))</f>
        <v/>
      </c>
      <c r="J21" s="22">
        <f>IF(OR(A21="",C21="",I21=""),"",I21*H21*C21/60)</f>
        <v/>
      </c>
    </row>
    <row r="22">
      <c r="A22" s="35" t="n"/>
      <c r="B22" s="33" t="n"/>
      <c r="C22" s="31" t="n"/>
      <c r="D22" s="30" t="n"/>
      <c r="E22" s="33" t="n"/>
      <c r="F22" s="20">
        <f>IF(A22="","",WEEKNUM(A22,21))</f>
        <v/>
      </c>
      <c r="G22" s="21">
        <f>IF(OR(C22="",N(D22)=0),"",C22/D22)</f>
        <v/>
      </c>
      <c r="H22" s="21">
        <f>IF(A22="","",IFERROR(INDEX(Weight!$B$2:$B$1000,MATCH(IF(_xlfn.MAXIFS(Weight!$A$2:$A$1000,Weight!$A$2:$A$1000,"&lt;="&amp;A22)&gt;0,_xlfn.MAXIFS(Weight!$A$2:$A$1000,Weight!$A$2:$A$1000,"&lt;="&amp;A22),_xlfn.MINIFS(Weight!$A$2:$A$1000,Weight!$A$2:$A$1000,"&gt;0")),Weight!$A$2:$A$1000,0)),Settings!$B$6))</f>
        <v/>
      </c>
      <c r="I22" s="21">
        <f>IF(B22="","",IFERROR(INDEX(Settings!$B$10:$B$21,MATCH(B22,Settings!$A$10:$A$21,0)),4))</f>
        <v/>
      </c>
      <c r="J22" s="22">
        <f>IF(OR(A22="",C22="",I22=""),"",I22*H22*C22/60)</f>
        <v/>
      </c>
    </row>
    <row r="23">
      <c r="A23" s="35" t="n"/>
      <c r="B23" s="33" t="n"/>
      <c r="C23" s="31" t="n"/>
      <c r="D23" s="30" t="n"/>
      <c r="E23" s="33" t="n"/>
      <c r="F23" s="20">
        <f>IF(A23="","",WEEKNUM(A23,21))</f>
        <v/>
      </c>
      <c r="G23" s="21">
        <f>IF(OR(C23="",N(D23)=0),"",C23/D23)</f>
        <v/>
      </c>
      <c r="H23" s="21">
        <f>IF(A23="","",IFERROR(INDEX(Weight!$B$2:$B$1000,MATCH(IF(_xlfn.MAXIFS(Weight!$A$2:$A$1000,Weight!$A$2:$A$1000,"&lt;="&amp;A23)&gt;0,_xlfn.MAXIFS(Weight!$A$2:$A$1000,Weight!$A$2:$A$1000,"&lt;="&amp;A23),_xlfn.MINIFS(Weight!$A$2:$A$1000,Weight!$A$2:$A$1000,"&gt;0")),Weight!$A$2:$A$1000,0)),Settings!$B$6))</f>
        <v/>
      </c>
      <c r="I23" s="21">
        <f>IF(B23="","",IFERROR(INDEX(Settings!$B$10:$B$21,MATCH(B23,Settings!$A$10:$A$21,0)),4))</f>
        <v/>
      </c>
      <c r="J23" s="22">
        <f>IF(OR(A23="",C23="",I23=""),"",I23*H23*C23/60)</f>
        <v/>
      </c>
    </row>
    <row r="24">
      <c r="A24" s="35" t="n"/>
      <c r="B24" s="33" t="n"/>
      <c r="C24" s="31" t="n"/>
      <c r="D24" s="30" t="n"/>
      <c r="E24" s="33" t="n"/>
      <c r="F24" s="20">
        <f>IF(A24="","",WEEKNUM(A24,21))</f>
        <v/>
      </c>
      <c r="G24" s="21">
        <f>IF(OR(C24="",N(D24)=0),"",C24/D24)</f>
        <v/>
      </c>
      <c r="H24" s="21">
        <f>IF(A24="","",IFERROR(INDEX(Weight!$B$2:$B$1000,MATCH(IF(_xlfn.MAXIFS(Weight!$A$2:$A$1000,Weight!$A$2:$A$1000,"&lt;="&amp;A24)&gt;0,_xlfn.MAXIFS(Weight!$A$2:$A$1000,Weight!$A$2:$A$1000,"&lt;="&amp;A24),_xlfn.MINIFS(Weight!$A$2:$A$1000,Weight!$A$2:$A$1000,"&gt;0")),Weight!$A$2:$A$1000,0)),Settings!$B$6))</f>
        <v/>
      </c>
      <c r="I24" s="21">
        <f>IF(B24="","",IFERROR(INDEX(Settings!$B$10:$B$21,MATCH(B24,Settings!$A$10:$A$21,0)),4))</f>
        <v/>
      </c>
      <c r="J24" s="22">
        <f>IF(OR(A24="",C24="",I24=""),"",I24*H24*C24/60)</f>
        <v/>
      </c>
    </row>
    <row r="25">
      <c r="A25" s="35" t="n"/>
      <c r="B25" s="33" t="n"/>
      <c r="C25" s="31" t="n"/>
      <c r="D25" s="30" t="n"/>
      <c r="E25" s="33" t="n"/>
      <c r="F25" s="20">
        <f>IF(A25="","",WEEKNUM(A25,21))</f>
        <v/>
      </c>
      <c r="G25" s="21">
        <f>IF(OR(C25="",N(D25)=0),"",C25/D25)</f>
        <v/>
      </c>
      <c r="H25" s="21">
        <f>IF(A25="","",IFERROR(INDEX(Weight!$B$2:$B$1000,MATCH(IF(_xlfn.MAXIFS(Weight!$A$2:$A$1000,Weight!$A$2:$A$1000,"&lt;="&amp;A25)&gt;0,_xlfn.MAXIFS(Weight!$A$2:$A$1000,Weight!$A$2:$A$1000,"&lt;="&amp;A25),_xlfn.MINIFS(Weight!$A$2:$A$1000,Weight!$A$2:$A$1000,"&gt;0")),Weight!$A$2:$A$1000,0)),Settings!$B$6))</f>
        <v/>
      </c>
      <c r="I25" s="21">
        <f>IF(B25="","",IFERROR(INDEX(Settings!$B$10:$B$21,MATCH(B25,Settings!$A$10:$A$21,0)),4))</f>
        <v/>
      </c>
      <c r="J25" s="22">
        <f>IF(OR(A25="",C25="",I25=""),"",I25*H25*C25/60)</f>
        <v/>
      </c>
    </row>
    <row r="26">
      <c r="A26" s="35" t="n"/>
      <c r="B26" s="33" t="n"/>
      <c r="C26" s="31" t="n"/>
      <c r="D26" s="30" t="n"/>
      <c r="E26" s="33" t="n"/>
      <c r="F26" s="20">
        <f>IF(A26="","",WEEKNUM(A26,21))</f>
        <v/>
      </c>
      <c r="G26" s="21">
        <f>IF(OR(C26="",N(D26)=0),"",C26/D26)</f>
        <v/>
      </c>
      <c r="H26" s="21">
        <f>IF(A26="","",IFERROR(INDEX(Weight!$B$2:$B$1000,MATCH(IF(_xlfn.MAXIFS(Weight!$A$2:$A$1000,Weight!$A$2:$A$1000,"&lt;="&amp;A26)&gt;0,_xlfn.MAXIFS(Weight!$A$2:$A$1000,Weight!$A$2:$A$1000,"&lt;="&amp;A26),_xlfn.MINIFS(Weight!$A$2:$A$1000,Weight!$A$2:$A$1000,"&gt;0")),Weight!$A$2:$A$1000,0)),Settings!$B$6))</f>
        <v/>
      </c>
      <c r="I26" s="21">
        <f>IF(B26="","",IFERROR(INDEX(Settings!$B$10:$B$21,MATCH(B26,Settings!$A$10:$A$21,0)),4))</f>
        <v/>
      </c>
      <c r="J26" s="22">
        <f>IF(OR(A26="",C26="",I26=""),"",I26*H26*C26/60)</f>
        <v/>
      </c>
    </row>
    <row r="27">
      <c r="A27" s="35" t="n"/>
      <c r="B27" s="33" t="n"/>
      <c r="C27" s="31" t="n"/>
      <c r="D27" s="30" t="n"/>
      <c r="E27" s="33" t="n"/>
      <c r="F27" s="20">
        <f>IF(A27="","",WEEKNUM(A27,21))</f>
        <v/>
      </c>
      <c r="G27" s="21">
        <f>IF(OR(C27="",N(D27)=0),"",C27/D27)</f>
        <v/>
      </c>
      <c r="H27" s="21">
        <f>IF(A27="","",IFERROR(INDEX(Weight!$B$2:$B$1000,MATCH(IF(_xlfn.MAXIFS(Weight!$A$2:$A$1000,Weight!$A$2:$A$1000,"&lt;="&amp;A27)&gt;0,_xlfn.MAXIFS(Weight!$A$2:$A$1000,Weight!$A$2:$A$1000,"&lt;="&amp;A27),_xlfn.MINIFS(Weight!$A$2:$A$1000,Weight!$A$2:$A$1000,"&gt;0")),Weight!$A$2:$A$1000,0)),Settings!$B$6))</f>
        <v/>
      </c>
      <c r="I27" s="21">
        <f>IF(B27="","",IFERROR(INDEX(Settings!$B$10:$B$21,MATCH(B27,Settings!$A$10:$A$21,0)),4))</f>
        <v/>
      </c>
      <c r="J27" s="22">
        <f>IF(OR(A27="",C27="",I27=""),"",I27*H27*C27/60)</f>
        <v/>
      </c>
    </row>
    <row r="28">
      <c r="A28" s="35" t="n"/>
      <c r="B28" s="33" t="n"/>
      <c r="C28" s="31" t="n"/>
      <c r="D28" s="30" t="n"/>
      <c r="E28" s="33" t="n"/>
      <c r="F28" s="20">
        <f>IF(A28="","",WEEKNUM(A28,21))</f>
        <v/>
      </c>
      <c r="G28" s="21">
        <f>IF(OR(C28="",N(D28)=0),"",C28/D28)</f>
        <v/>
      </c>
      <c r="H28" s="21">
        <f>IF(A28="","",IFERROR(INDEX(Weight!$B$2:$B$1000,MATCH(IF(_xlfn.MAXIFS(Weight!$A$2:$A$1000,Weight!$A$2:$A$1000,"&lt;="&amp;A28)&gt;0,_xlfn.MAXIFS(Weight!$A$2:$A$1000,Weight!$A$2:$A$1000,"&lt;="&amp;A28),_xlfn.MINIFS(Weight!$A$2:$A$1000,Weight!$A$2:$A$1000,"&gt;0")),Weight!$A$2:$A$1000,0)),Settings!$B$6))</f>
        <v/>
      </c>
      <c r="I28" s="21">
        <f>IF(B28="","",IFERROR(INDEX(Settings!$B$10:$B$21,MATCH(B28,Settings!$A$10:$A$21,0)),4))</f>
        <v/>
      </c>
      <c r="J28" s="22">
        <f>IF(OR(A28="",C28="",I28=""),"",I28*H28*C28/60)</f>
        <v/>
      </c>
    </row>
    <row r="29">
      <c r="A29" s="35" t="n"/>
      <c r="B29" s="33" t="n"/>
      <c r="C29" s="31" t="n"/>
      <c r="D29" s="30" t="n"/>
      <c r="E29" s="33" t="n"/>
      <c r="F29" s="20">
        <f>IF(A29="","",WEEKNUM(A29,21))</f>
        <v/>
      </c>
      <c r="G29" s="21">
        <f>IF(OR(C29="",N(D29)=0),"",C29/D29)</f>
        <v/>
      </c>
      <c r="H29" s="21">
        <f>IF(A29="","",IFERROR(INDEX(Weight!$B$2:$B$1000,MATCH(IF(_xlfn.MAXIFS(Weight!$A$2:$A$1000,Weight!$A$2:$A$1000,"&lt;="&amp;A29)&gt;0,_xlfn.MAXIFS(Weight!$A$2:$A$1000,Weight!$A$2:$A$1000,"&lt;="&amp;A29),_xlfn.MINIFS(Weight!$A$2:$A$1000,Weight!$A$2:$A$1000,"&gt;0")),Weight!$A$2:$A$1000,0)),Settings!$B$6))</f>
        <v/>
      </c>
      <c r="I29" s="21">
        <f>IF(B29="","",IFERROR(INDEX(Settings!$B$10:$B$21,MATCH(B29,Settings!$A$10:$A$21,0)),4))</f>
        <v/>
      </c>
      <c r="J29" s="22">
        <f>IF(OR(A29="",C29="",I29=""),"",I29*H29*C29/60)</f>
        <v/>
      </c>
    </row>
    <row r="30">
      <c r="A30" s="35" t="n"/>
      <c r="B30" s="33" t="n"/>
      <c r="C30" s="31" t="n"/>
      <c r="D30" s="30" t="n"/>
      <c r="E30" s="33" t="n"/>
      <c r="F30" s="20">
        <f>IF(A30="","",WEEKNUM(A30,21))</f>
        <v/>
      </c>
      <c r="G30" s="21">
        <f>IF(OR(C30="",N(D30)=0),"",C30/D30)</f>
        <v/>
      </c>
      <c r="H30" s="21">
        <f>IF(A30="","",IFERROR(INDEX(Weight!$B$2:$B$1000,MATCH(IF(_xlfn.MAXIFS(Weight!$A$2:$A$1000,Weight!$A$2:$A$1000,"&lt;="&amp;A30)&gt;0,_xlfn.MAXIFS(Weight!$A$2:$A$1000,Weight!$A$2:$A$1000,"&lt;="&amp;A30),_xlfn.MINIFS(Weight!$A$2:$A$1000,Weight!$A$2:$A$1000,"&gt;0")),Weight!$A$2:$A$1000,0)),Settings!$B$6))</f>
        <v/>
      </c>
      <c r="I30" s="21">
        <f>IF(B30="","",IFERROR(INDEX(Settings!$B$10:$B$21,MATCH(B30,Settings!$A$10:$A$21,0)),4))</f>
        <v/>
      </c>
      <c r="J30" s="22">
        <f>IF(OR(A30="",C30="",I30=""),"",I30*H30*C30/60)</f>
        <v/>
      </c>
    </row>
    <row r="31">
      <c r="A31" s="35" t="n"/>
      <c r="B31" s="33" t="n"/>
      <c r="C31" s="31" t="n"/>
      <c r="D31" s="30" t="n"/>
      <c r="E31" s="33" t="n"/>
      <c r="F31" s="20">
        <f>IF(A31="","",WEEKNUM(A31,21))</f>
        <v/>
      </c>
      <c r="G31" s="21">
        <f>IF(OR(C31="",N(D31)=0),"",C31/D31)</f>
        <v/>
      </c>
      <c r="H31" s="21">
        <f>IF(A31="","",IFERROR(INDEX(Weight!$B$2:$B$1000,MATCH(IF(_xlfn.MAXIFS(Weight!$A$2:$A$1000,Weight!$A$2:$A$1000,"&lt;="&amp;A31)&gt;0,_xlfn.MAXIFS(Weight!$A$2:$A$1000,Weight!$A$2:$A$1000,"&lt;="&amp;A31),_xlfn.MINIFS(Weight!$A$2:$A$1000,Weight!$A$2:$A$1000,"&gt;0")),Weight!$A$2:$A$1000,0)),Settings!$B$6))</f>
        <v/>
      </c>
      <c r="I31" s="21">
        <f>IF(B31="","",IFERROR(INDEX(Settings!$B$10:$B$21,MATCH(B31,Settings!$A$10:$A$21,0)),4))</f>
        <v/>
      </c>
      <c r="J31" s="22">
        <f>IF(OR(A31="",C31="",I31=""),"",I31*H31*C31/60)</f>
        <v/>
      </c>
    </row>
    <row r="32">
      <c r="A32" s="35" t="n"/>
      <c r="B32" s="33" t="n"/>
      <c r="C32" s="31" t="n"/>
      <c r="D32" s="30" t="n"/>
      <c r="E32" s="33" t="n"/>
      <c r="F32" s="20">
        <f>IF(A32="","",WEEKNUM(A32,21))</f>
        <v/>
      </c>
      <c r="G32" s="21">
        <f>IF(OR(C32="",N(D32)=0),"",C32/D32)</f>
        <v/>
      </c>
      <c r="H32" s="21">
        <f>IF(A32="","",IFERROR(INDEX(Weight!$B$2:$B$1000,MATCH(IF(_xlfn.MAXIFS(Weight!$A$2:$A$1000,Weight!$A$2:$A$1000,"&lt;="&amp;A32)&gt;0,_xlfn.MAXIFS(Weight!$A$2:$A$1000,Weight!$A$2:$A$1000,"&lt;="&amp;A32),_xlfn.MINIFS(Weight!$A$2:$A$1000,Weight!$A$2:$A$1000,"&gt;0")),Weight!$A$2:$A$1000,0)),Settings!$B$6))</f>
        <v/>
      </c>
      <c r="I32" s="21">
        <f>IF(B32="","",IFERROR(INDEX(Settings!$B$10:$B$21,MATCH(B32,Settings!$A$10:$A$21,0)),4))</f>
        <v/>
      </c>
      <c r="J32" s="22">
        <f>IF(OR(A32="",C32="",I32=""),"",I32*H32*C32/60)</f>
        <v/>
      </c>
    </row>
    <row r="33">
      <c r="A33" s="35" t="n"/>
      <c r="B33" s="33" t="n"/>
      <c r="C33" s="31" t="n"/>
      <c r="D33" s="30" t="n"/>
      <c r="E33" s="33" t="n"/>
      <c r="F33" s="20">
        <f>IF(A33="","",WEEKNUM(A33,21))</f>
        <v/>
      </c>
      <c r="G33" s="21">
        <f>IF(OR(C33="",N(D33)=0),"",C33/D33)</f>
        <v/>
      </c>
      <c r="H33" s="21">
        <f>IF(A33="","",IFERROR(INDEX(Weight!$B$2:$B$1000,MATCH(IF(_xlfn.MAXIFS(Weight!$A$2:$A$1000,Weight!$A$2:$A$1000,"&lt;="&amp;A33)&gt;0,_xlfn.MAXIFS(Weight!$A$2:$A$1000,Weight!$A$2:$A$1000,"&lt;="&amp;A33),_xlfn.MINIFS(Weight!$A$2:$A$1000,Weight!$A$2:$A$1000,"&gt;0")),Weight!$A$2:$A$1000,0)),Settings!$B$6))</f>
        <v/>
      </c>
      <c r="I33" s="21">
        <f>IF(B33="","",IFERROR(INDEX(Settings!$B$10:$B$21,MATCH(B33,Settings!$A$10:$A$21,0)),4))</f>
        <v/>
      </c>
      <c r="J33" s="22">
        <f>IF(OR(A33="",C33="",I33=""),"",I33*H33*C33/60)</f>
        <v/>
      </c>
    </row>
    <row r="34">
      <c r="A34" s="35" t="n"/>
      <c r="B34" s="33" t="n"/>
      <c r="C34" s="31" t="n"/>
      <c r="D34" s="30" t="n"/>
      <c r="E34" s="33" t="n"/>
      <c r="F34" s="20">
        <f>IF(A34="","",WEEKNUM(A34,21))</f>
        <v/>
      </c>
      <c r="G34" s="21">
        <f>IF(OR(C34="",N(D34)=0),"",C34/D34)</f>
        <v/>
      </c>
      <c r="H34" s="21">
        <f>IF(A34="","",IFERROR(INDEX(Weight!$B$2:$B$1000,MATCH(IF(_xlfn.MAXIFS(Weight!$A$2:$A$1000,Weight!$A$2:$A$1000,"&lt;="&amp;A34)&gt;0,_xlfn.MAXIFS(Weight!$A$2:$A$1000,Weight!$A$2:$A$1000,"&lt;="&amp;A34),_xlfn.MINIFS(Weight!$A$2:$A$1000,Weight!$A$2:$A$1000,"&gt;0")),Weight!$A$2:$A$1000,0)),Settings!$B$6))</f>
        <v/>
      </c>
      <c r="I34" s="21">
        <f>IF(B34="","",IFERROR(INDEX(Settings!$B$10:$B$21,MATCH(B34,Settings!$A$10:$A$21,0)),4))</f>
        <v/>
      </c>
      <c r="J34" s="22">
        <f>IF(OR(A34="",C34="",I34=""),"",I34*H34*C34/60)</f>
        <v/>
      </c>
    </row>
    <row r="35">
      <c r="A35" s="35" t="n"/>
      <c r="B35" s="33" t="n"/>
      <c r="C35" s="31" t="n"/>
      <c r="D35" s="30" t="n"/>
      <c r="E35" s="33" t="n"/>
      <c r="F35" s="20">
        <f>IF(A35="","",WEEKNUM(A35,21))</f>
        <v/>
      </c>
      <c r="G35" s="21">
        <f>IF(OR(C35="",N(D35)=0),"",C35/D35)</f>
        <v/>
      </c>
      <c r="H35" s="21">
        <f>IF(A35="","",IFERROR(INDEX(Weight!$B$2:$B$1000,MATCH(IF(_xlfn.MAXIFS(Weight!$A$2:$A$1000,Weight!$A$2:$A$1000,"&lt;="&amp;A35)&gt;0,_xlfn.MAXIFS(Weight!$A$2:$A$1000,Weight!$A$2:$A$1000,"&lt;="&amp;A35),_xlfn.MINIFS(Weight!$A$2:$A$1000,Weight!$A$2:$A$1000,"&gt;0")),Weight!$A$2:$A$1000,0)),Settings!$B$6))</f>
        <v/>
      </c>
      <c r="I35" s="21">
        <f>IF(B35="","",IFERROR(INDEX(Settings!$B$10:$B$21,MATCH(B35,Settings!$A$10:$A$21,0)),4))</f>
        <v/>
      </c>
      <c r="J35" s="22">
        <f>IF(OR(A35="",C35="",I35=""),"",I35*H35*C35/60)</f>
        <v/>
      </c>
    </row>
    <row r="36">
      <c r="A36" s="35" t="n"/>
      <c r="B36" s="33" t="n"/>
      <c r="C36" s="31" t="n"/>
      <c r="D36" s="30" t="n"/>
      <c r="E36" s="33" t="n"/>
      <c r="F36" s="20">
        <f>IF(A36="","",WEEKNUM(A36,21))</f>
        <v/>
      </c>
      <c r="G36" s="21">
        <f>IF(OR(C36="",N(D36)=0),"",C36/D36)</f>
        <v/>
      </c>
      <c r="H36" s="21">
        <f>IF(A36="","",IFERROR(INDEX(Weight!$B$2:$B$1000,MATCH(IF(_xlfn.MAXIFS(Weight!$A$2:$A$1000,Weight!$A$2:$A$1000,"&lt;="&amp;A36)&gt;0,_xlfn.MAXIFS(Weight!$A$2:$A$1000,Weight!$A$2:$A$1000,"&lt;="&amp;A36),_xlfn.MINIFS(Weight!$A$2:$A$1000,Weight!$A$2:$A$1000,"&gt;0")),Weight!$A$2:$A$1000,0)),Settings!$B$6))</f>
        <v/>
      </c>
      <c r="I36" s="21">
        <f>IF(B36="","",IFERROR(INDEX(Settings!$B$10:$B$21,MATCH(B36,Settings!$A$10:$A$21,0)),4))</f>
        <v/>
      </c>
      <c r="J36" s="22">
        <f>IF(OR(A36="",C36="",I36=""),"",I36*H36*C36/60)</f>
        <v/>
      </c>
    </row>
    <row r="37">
      <c r="A37" s="35" t="n"/>
      <c r="B37" s="33" t="n"/>
      <c r="C37" s="31" t="n"/>
      <c r="D37" s="30" t="n"/>
      <c r="E37" s="33" t="n"/>
      <c r="F37" s="20">
        <f>IF(A37="","",WEEKNUM(A37,21))</f>
        <v/>
      </c>
      <c r="G37" s="21">
        <f>IF(OR(C37="",N(D37)=0),"",C37/D37)</f>
        <v/>
      </c>
      <c r="H37" s="21">
        <f>IF(A37="","",IFERROR(INDEX(Weight!$B$2:$B$1000,MATCH(IF(_xlfn.MAXIFS(Weight!$A$2:$A$1000,Weight!$A$2:$A$1000,"&lt;="&amp;A37)&gt;0,_xlfn.MAXIFS(Weight!$A$2:$A$1000,Weight!$A$2:$A$1000,"&lt;="&amp;A37),_xlfn.MINIFS(Weight!$A$2:$A$1000,Weight!$A$2:$A$1000,"&gt;0")),Weight!$A$2:$A$1000,0)),Settings!$B$6))</f>
        <v/>
      </c>
      <c r="I37" s="21">
        <f>IF(B37="","",IFERROR(INDEX(Settings!$B$10:$B$21,MATCH(B37,Settings!$A$10:$A$21,0)),4))</f>
        <v/>
      </c>
      <c r="J37" s="22">
        <f>IF(OR(A37="",C37="",I37=""),"",I37*H37*C37/60)</f>
        <v/>
      </c>
    </row>
    <row r="38">
      <c r="A38" s="35" t="n"/>
      <c r="B38" s="33" t="n"/>
      <c r="C38" s="31" t="n"/>
      <c r="D38" s="30" t="n"/>
      <c r="E38" s="33" t="n"/>
      <c r="F38" s="20">
        <f>IF(A38="","",WEEKNUM(A38,21))</f>
        <v/>
      </c>
      <c r="G38" s="21">
        <f>IF(OR(C38="",N(D38)=0),"",C38/D38)</f>
        <v/>
      </c>
      <c r="H38" s="21">
        <f>IF(A38="","",IFERROR(INDEX(Weight!$B$2:$B$1000,MATCH(IF(_xlfn.MAXIFS(Weight!$A$2:$A$1000,Weight!$A$2:$A$1000,"&lt;="&amp;A38)&gt;0,_xlfn.MAXIFS(Weight!$A$2:$A$1000,Weight!$A$2:$A$1000,"&lt;="&amp;A38),_xlfn.MINIFS(Weight!$A$2:$A$1000,Weight!$A$2:$A$1000,"&gt;0")),Weight!$A$2:$A$1000,0)),Settings!$B$6))</f>
        <v/>
      </c>
      <c r="I38" s="21">
        <f>IF(B38="","",IFERROR(INDEX(Settings!$B$10:$B$21,MATCH(B38,Settings!$A$10:$A$21,0)),4))</f>
        <v/>
      </c>
      <c r="J38" s="22">
        <f>IF(OR(A38="",C38="",I38=""),"",I38*H38*C38/60)</f>
        <v/>
      </c>
    </row>
    <row r="39">
      <c r="A39" s="35" t="n"/>
      <c r="B39" s="33" t="n"/>
      <c r="C39" s="31" t="n"/>
      <c r="D39" s="30" t="n"/>
      <c r="E39" s="33" t="n"/>
      <c r="F39" s="20">
        <f>IF(A39="","",WEEKNUM(A39,21))</f>
        <v/>
      </c>
      <c r="G39" s="21">
        <f>IF(OR(C39="",N(D39)=0),"",C39/D39)</f>
        <v/>
      </c>
      <c r="H39" s="21">
        <f>IF(A39="","",IFERROR(INDEX(Weight!$B$2:$B$1000,MATCH(IF(_xlfn.MAXIFS(Weight!$A$2:$A$1000,Weight!$A$2:$A$1000,"&lt;="&amp;A39)&gt;0,_xlfn.MAXIFS(Weight!$A$2:$A$1000,Weight!$A$2:$A$1000,"&lt;="&amp;A39),_xlfn.MINIFS(Weight!$A$2:$A$1000,Weight!$A$2:$A$1000,"&gt;0")),Weight!$A$2:$A$1000,0)),Settings!$B$6))</f>
        <v/>
      </c>
      <c r="I39" s="21">
        <f>IF(B39="","",IFERROR(INDEX(Settings!$B$10:$B$21,MATCH(B39,Settings!$A$10:$A$21,0)),4))</f>
        <v/>
      </c>
      <c r="J39" s="22">
        <f>IF(OR(A39="",C39="",I39=""),"",I39*H39*C39/60)</f>
        <v/>
      </c>
    </row>
    <row r="40">
      <c r="A40" s="35" t="n"/>
      <c r="B40" s="33" t="n"/>
      <c r="C40" s="31" t="n"/>
      <c r="D40" s="30" t="n"/>
      <c r="E40" s="33" t="n"/>
      <c r="F40" s="20">
        <f>IF(A40="","",WEEKNUM(A40,21))</f>
        <v/>
      </c>
      <c r="G40" s="21">
        <f>IF(OR(C40="",N(D40)=0),"",C40/D40)</f>
        <v/>
      </c>
      <c r="H40" s="21">
        <f>IF(A40="","",IFERROR(INDEX(Weight!$B$2:$B$1000,MATCH(IF(_xlfn.MAXIFS(Weight!$A$2:$A$1000,Weight!$A$2:$A$1000,"&lt;="&amp;A40)&gt;0,_xlfn.MAXIFS(Weight!$A$2:$A$1000,Weight!$A$2:$A$1000,"&lt;="&amp;A40),_xlfn.MINIFS(Weight!$A$2:$A$1000,Weight!$A$2:$A$1000,"&gt;0")),Weight!$A$2:$A$1000,0)),Settings!$B$6))</f>
        <v/>
      </c>
      <c r="I40" s="21">
        <f>IF(B40="","",IFERROR(INDEX(Settings!$B$10:$B$21,MATCH(B40,Settings!$A$10:$A$21,0)),4))</f>
        <v/>
      </c>
      <c r="J40" s="22">
        <f>IF(OR(A40="",C40="",I40=""),"",I40*H40*C40/60)</f>
        <v/>
      </c>
    </row>
    <row r="41">
      <c r="A41" s="35" t="n"/>
      <c r="B41" s="33" t="n"/>
      <c r="C41" s="31" t="n"/>
      <c r="D41" s="30" t="n"/>
      <c r="E41" s="33" t="n"/>
      <c r="F41" s="20">
        <f>IF(A41="","",WEEKNUM(A41,21))</f>
        <v/>
      </c>
      <c r="G41" s="21">
        <f>IF(OR(C41="",N(D41)=0),"",C41/D41)</f>
        <v/>
      </c>
      <c r="H41" s="21">
        <f>IF(A41="","",IFERROR(INDEX(Weight!$B$2:$B$1000,MATCH(IF(_xlfn.MAXIFS(Weight!$A$2:$A$1000,Weight!$A$2:$A$1000,"&lt;="&amp;A41)&gt;0,_xlfn.MAXIFS(Weight!$A$2:$A$1000,Weight!$A$2:$A$1000,"&lt;="&amp;A41),_xlfn.MINIFS(Weight!$A$2:$A$1000,Weight!$A$2:$A$1000,"&gt;0")),Weight!$A$2:$A$1000,0)),Settings!$B$6))</f>
        <v/>
      </c>
      <c r="I41" s="21">
        <f>IF(B41="","",IFERROR(INDEX(Settings!$B$10:$B$21,MATCH(B41,Settings!$A$10:$A$21,0)),4))</f>
        <v/>
      </c>
      <c r="J41" s="22">
        <f>IF(OR(A41="",C41="",I41=""),"",I41*H41*C41/60)</f>
        <v/>
      </c>
    </row>
    <row r="42">
      <c r="A42" s="35" t="n"/>
      <c r="B42" s="33" t="n"/>
      <c r="C42" s="31" t="n"/>
      <c r="D42" s="30" t="n"/>
      <c r="E42" s="33" t="n"/>
      <c r="F42" s="20">
        <f>IF(A42="","",WEEKNUM(A42,21))</f>
        <v/>
      </c>
      <c r="G42" s="21">
        <f>IF(OR(C42="",N(D42)=0),"",C42/D42)</f>
        <v/>
      </c>
      <c r="H42" s="21">
        <f>IF(A42="","",IFERROR(INDEX(Weight!$B$2:$B$1000,MATCH(IF(_xlfn.MAXIFS(Weight!$A$2:$A$1000,Weight!$A$2:$A$1000,"&lt;="&amp;A42)&gt;0,_xlfn.MAXIFS(Weight!$A$2:$A$1000,Weight!$A$2:$A$1000,"&lt;="&amp;A42),_xlfn.MINIFS(Weight!$A$2:$A$1000,Weight!$A$2:$A$1000,"&gt;0")),Weight!$A$2:$A$1000,0)),Settings!$B$6))</f>
        <v/>
      </c>
      <c r="I42" s="21">
        <f>IF(B42="","",IFERROR(INDEX(Settings!$B$10:$B$21,MATCH(B42,Settings!$A$10:$A$21,0)),4))</f>
        <v/>
      </c>
      <c r="J42" s="22">
        <f>IF(OR(A42="",C42="",I42=""),"",I42*H42*C42/60)</f>
        <v/>
      </c>
    </row>
    <row r="43">
      <c r="A43" s="35" t="n"/>
      <c r="B43" s="33" t="n"/>
      <c r="C43" s="31" t="n"/>
      <c r="D43" s="30" t="n"/>
      <c r="E43" s="33" t="n"/>
      <c r="F43" s="20">
        <f>IF(A43="","",WEEKNUM(A43,21))</f>
        <v/>
      </c>
      <c r="G43" s="21">
        <f>IF(OR(C43="",N(D43)=0),"",C43/D43)</f>
        <v/>
      </c>
      <c r="H43" s="21">
        <f>IF(A43="","",IFERROR(INDEX(Weight!$B$2:$B$1000,MATCH(IF(_xlfn.MAXIFS(Weight!$A$2:$A$1000,Weight!$A$2:$A$1000,"&lt;="&amp;A43)&gt;0,_xlfn.MAXIFS(Weight!$A$2:$A$1000,Weight!$A$2:$A$1000,"&lt;="&amp;A43),_xlfn.MINIFS(Weight!$A$2:$A$1000,Weight!$A$2:$A$1000,"&gt;0")),Weight!$A$2:$A$1000,0)),Settings!$B$6))</f>
        <v/>
      </c>
      <c r="I43" s="21">
        <f>IF(B43="","",IFERROR(INDEX(Settings!$B$10:$B$21,MATCH(B43,Settings!$A$10:$A$21,0)),4))</f>
        <v/>
      </c>
      <c r="J43" s="22">
        <f>IF(OR(A43="",C43="",I43=""),"",I43*H43*C43/60)</f>
        <v/>
      </c>
    </row>
    <row r="44">
      <c r="A44" s="35" t="n"/>
      <c r="B44" s="33" t="n"/>
      <c r="C44" s="31" t="n"/>
      <c r="D44" s="30" t="n"/>
      <c r="E44" s="33" t="n"/>
      <c r="F44" s="20">
        <f>IF(A44="","",WEEKNUM(A44,21))</f>
        <v/>
      </c>
      <c r="G44" s="21">
        <f>IF(OR(C44="",N(D44)=0),"",C44/D44)</f>
        <v/>
      </c>
      <c r="H44" s="21">
        <f>IF(A44="","",IFERROR(INDEX(Weight!$B$2:$B$1000,MATCH(IF(_xlfn.MAXIFS(Weight!$A$2:$A$1000,Weight!$A$2:$A$1000,"&lt;="&amp;A44)&gt;0,_xlfn.MAXIFS(Weight!$A$2:$A$1000,Weight!$A$2:$A$1000,"&lt;="&amp;A44),_xlfn.MINIFS(Weight!$A$2:$A$1000,Weight!$A$2:$A$1000,"&gt;0")),Weight!$A$2:$A$1000,0)),Settings!$B$6))</f>
        <v/>
      </c>
      <c r="I44" s="21">
        <f>IF(B44="","",IFERROR(INDEX(Settings!$B$10:$B$21,MATCH(B44,Settings!$A$10:$A$21,0)),4))</f>
        <v/>
      </c>
      <c r="J44" s="22">
        <f>IF(OR(A44="",C44="",I44=""),"",I44*H44*C44/60)</f>
        <v/>
      </c>
    </row>
    <row r="45">
      <c r="A45" s="35" t="n"/>
      <c r="B45" s="33" t="n"/>
      <c r="C45" s="31" t="n"/>
      <c r="D45" s="30" t="n"/>
      <c r="E45" s="33" t="n"/>
      <c r="F45" s="20">
        <f>IF(A45="","",WEEKNUM(A45,21))</f>
        <v/>
      </c>
      <c r="G45" s="21">
        <f>IF(OR(C45="",N(D45)=0),"",C45/D45)</f>
        <v/>
      </c>
      <c r="H45" s="21">
        <f>IF(A45="","",IFERROR(INDEX(Weight!$B$2:$B$1000,MATCH(IF(_xlfn.MAXIFS(Weight!$A$2:$A$1000,Weight!$A$2:$A$1000,"&lt;="&amp;A45)&gt;0,_xlfn.MAXIFS(Weight!$A$2:$A$1000,Weight!$A$2:$A$1000,"&lt;="&amp;A45),_xlfn.MINIFS(Weight!$A$2:$A$1000,Weight!$A$2:$A$1000,"&gt;0")),Weight!$A$2:$A$1000,0)),Settings!$B$6))</f>
        <v/>
      </c>
      <c r="I45" s="21">
        <f>IF(B45="","",IFERROR(INDEX(Settings!$B$10:$B$21,MATCH(B45,Settings!$A$10:$A$21,0)),4))</f>
        <v/>
      </c>
      <c r="J45" s="22">
        <f>IF(OR(A45="",C45="",I45=""),"",I45*H45*C45/60)</f>
        <v/>
      </c>
    </row>
    <row r="46">
      <c r="A46" s="35" t="n"/>
      <c r="B46" s="33" t="n"/>
      <c r="C46" s="31" t="n"/>
      <c r="D46" s="30" t="n"/>
      <c r="E46" s="33" t="n"/>
      <c r="F46" s="20">
        <f>IF(A46="","",WEEKNUM(A46,21))</f>
        <v/>
      </c>
      <c r="G46" s="21">
        <f>IF(OR(C46="",N(D46)=0),"",C46/D46)</f>
        <v/>
      </c>
      <c r="H46" s="21">
        <f>IF(A46="","",IFERROR(INDEX(Weight!$B$2:$B$1000,MATCH(IF(_xlfn.MAXIFS(Weight!$A$2:$A$1000,Weight!$A$2:$A$1000,"&lt;="&amp;A46)&gt;0,_xlfn.MAXIFS(Weight!$A$2:$A$1000,Weight!$A$2:$A$1000,"&lt;="&amp;A46),_xlfn.MINIFS(Weight!$A$2:$A$1000,Weight!$A$2:$A$1000,"&gt;0")),Weight!$A$2:$A$1000,0)),Settings!$B$6))</f>
        <v/>
      </c>
      <c r="I46" s="21">
        <f>IF(B46="","",IFERROR(INDEX(Settings!$B$10:$B$21,MATCH(B46,Settings!$A$10:$A$21,0)),4))</f>
        <v/>
      </c>
      <c r="J46" s="22">
        <f>IF(OR(A46="",C46="",I46=""),"",I46*H46*C46/60)</f>
        <v/>
      </c>
    </row>
    <row r="47">
      <c r="A47" s="35" t="n"/>
      <c r="B47" s="33" t="n"/>
      <c r="C47" s="31" t="n"/>
      <c r="D47" s="30" t="n"/>
      <c r="E47" s="33" t="n"/>
      <c r="F47" s="20">
        <f>IF(A47="","",WEEKNUM(A47,21))</f>
        <v/>
      </c>
      <c r="G47" s="21">
        <f>IF(OR(C47="",N(D47)=0),"",C47/D47)</f>
        <v/>
      </c>
      <c r="H47" s="21">
        <f>IF(A47="","",IFERROR(INDEX(Weight!$B$2:$B$1000,MATCH(IF(_xlfn.MAXIFS(Weight!$A$2:$A$1000,Weight!$A$2:$A$1000,"&lt;="&amp;A47)&gt;0,_xlfn.MAXIFS(Weight!$A$2:$A$1000,Weight!$A$2:$A$1000,"&lt;="&amp;A47),_xlfn.MINIFS(Weight!$A$2:$A$1000,Weight!$A$2:$A$1000,"&gt;0")),Weight!$A$2:$A$1000,0)),Settings!$B$6))</f>
        <v/>
      </c>
      <c r="I47" s="21">
        <f>IF(B47="","",IFERROR(INDEX(Settings!$B$10:$B$21,MATCH(B47,Settings!$A$10:$A$21,0)),4))</f>
        <v/>
      </c>
      <c r="J47" s="22">
        <f>IF(OR(A47="",C47="",I47=""),"",I47*H47*C47/60)</f>
        <v/>
      </c>
    </row>
    <row r="48">
      <c r="A48" s="35" t="n"/>
      <c r="B48" s="33" t="n"/>
      <c r="C48" s="31" t="n"/>
      <c r="D48" s="30" t="n"/>
      <c r="E48" s="33" t="n"/>
      <c r="F48" s="20">
        <f>IF(A48="","",WEEKNUM(A48,21))</f>
        <v/>
      </c>
      <c r="G48" s="21">
        <f>IF(OR(C48="",N(D48)=0),"",C48/D48)</f>
        <v/>
      </c>
      <c r="H48" s="21">
        <f>IF(A48="","",IFERROR(INDEX(Weight!$B$2:$B$1000,MATCH(IF(_xlfn.MAXIFS(Weight!$A$2:$A$1000,Weight!$A$2:$A$1000,"&lt;="&amp;A48)&gt;0,_xlfn.MAXIFS(Weight!$A$2:$A$1000,Weight!$A$2:$A$1000,"&lt;="&amp;A48),_xlfn.MINIFS(Weight!$A$2:$A$1000,Weight!$A$2:$A$1000,"&gt;0")),Weight!$A$2:$A$1000,0)),Settings!$B$6))</f>
        <v/>
      </c>
      <c r="I48" s="21">
        <f>IF(B48="","",IFERROR(INDEX(Settings!$B$10:$B$21,MATCH(B48,Settings!$A$10:$A$21,0)),4))</f>
        <v/>
      </c>
      <c r="J48" s="22">
        <f>IF(OR(A48="",C48="",I48=""),"",I48*H48*C48/60)</f>
        <v/>
      </c>
    </row>
    <row r="49">
      <c r="A49" s="35" t="n"/>
      <c r="B49" s="33" t="n"/>
      <c r="C49" s="31" t="n"/>
      <c r="D49" s="30" t="n"/>
      <c r="E49" s="33" t="n"/>
      <c r="F49" s="20">
        <f>IF(A49="","",WEEKNUM(A49,21))</f>
        <v/>
      </c>
      <c r="G49" s="21">
        <f>IF(OR(C49="",N(D49)=0),"",C49/D49)</f>
        <v/>
      </c>
      <c r="H49" s="21">
        <f>IF(A49="","",IFERROR(INDEX(Weight!$B$2:$B$1000,MATCH(IF(_xlfn.MAXIFS(Weight!$A$2:$A$1000,Weight!$A$2:$A$1000,"&lt;="&amp;A49)&gt;0,_xlfn.MAXIFS(Weight!$A$2:$A$1000,Weight!$A$2:$A$1000,"&lt;="&amp;A49),_xlfn.MINIFS(Weight!$A$2:$A$1000,Weight!$A$2:$A$1000,"&gt;0")),Weight!$A$2:$A$1000,0)),Settings!$B$6))</f>
        <v/>
      </c>
      <c r="I49" s="21">
        <f>IF(B49="","",IFERROR(INDEX(Settings!$B$10:$B$21,MATCH(B49,Settings!$A$10:$A$21,0)),4))</f>
        <v/>
      </c>
      <c r="J49" s="22">
        <f>IF(OR(A49="",C49="",I49=""),"",I49*H49*C49/60)</f>
        <v/>
      </c>
    </row>
    <row r="50">
      <c r="A50" s="35" t="n"/>
      <c r="B50" s="33" t="n"/>
      <c r="C50" s="31" t="n"/>
      <c r="D50" s="30" t="n"/>
      <c r="E50" s="33" t="n"/>
      <c r="F50" s="20">
        <f>IF(A50="","",WEEKNUM(A50,21))</f>
        <v/>
      </c>
      <c r="G50" s="21">
        <f>IF(OR(C50="",N(D50)=0),"",C50/D50)</f>
        <v/>
      </c>
      <c r="H50" s="21">
        <f>IF(A50="","",IFERROR(INDEX(Weight!$B$2:$B$1000,MATCH(IF(_xlfn.MAXIFS(Weight!$A$2:$A$1000,Weight!$A$2:$A$1000,"&lt;="&amp;A50)&gt;0,_xlfn.MAXIFS(Weight!$A$2:$A$1000,Weight!$A$2:$A$1000,"&lt;="&amp;A50),_xlfn.MINIFS(Weight!$A$2:$A$1000,Weight!$A$2:$A$1000,"&gt;0")),Weight!$A$2:$A$1000,0)),Settings!$B$6))</f>
        <v/>
      </c>
      <c r="I50" s="21">
        <f>IF(B50="","",IFERROR(INDEX(Settings!$B$10:$B$21,MATCH(B50,Settings!$A$10:$A$21,0)),4))</f>
        <v/>
      </c>
      <c r="J50" s="22">
        <f>IF(OR(A50="",C50="",I50=""),"",I50*H50*C50/60)</f>
        <v/>
      </c>
    </row>
    <row r="51">
      <c r="A51" s="35" t="n"/>
      <c r="B51" s="33" t="n"/>
      <c r="C51" s="31" t="n"/>
      <c r="D51" s="30" t="n"/>
      <c r="E51" s="33" t="n"/>
      <c r="F51" s="20">
        <f>IF(A51="","",WEEKNUM(A51,21))</f>
        <v/>
      </c>
      <c r="G51" s="21">
        <f>IF(OR(C51="",N(D51)=0),"",C51/D51)</f>
        <v/>
      </c>
      <c r="H51" s="21">
        <f>IF(A51="","",IFERROR(INDEX(Weight!$B$2:$B$1000,MATCH(IF(_xlfn.MAXIFS(Weight!$A$2:$A$1000,Weight!$A$2:$A$1000,"&lt;="&amp;A51)&gt;0,_xlfn.MAXIFS(Weight!$A$2:$A$1000,Weight!$A$2:$A$1000,"&lt;="&amp;A51),_xlfn.MINIFS(Weight!$A$2:$A$1000,Weight!$A$2:$A$1000,"&gt;0")),Weight!$A$2:$A$1000,0)),Settings!$B$6))</f>
        <v/>
      </c>
      <c r="I51" s="21">
        <f>IF(B51="","",IFERROR(INDEX(Settings!$B$10:$B$21,MATCH(B51,Settings!$A$10:$A$21,0)),4))</f>
        <v/>
      </c>
      <c r="J51" s="22">
        <f>IF(OR(A51="",C51="",I51=""),"",I51*H51*C51/60)</f>
        <v/>
      </c>
    </row>
    <row r="52">
      <c r="A52" s="35" t="n"/>
      <c r="B52" s="33" t="n"/>
      <c r="C52" s="31" t="n"/>
      <c r="D52" s="30" t="n"/>
      <c r="E52" s="33" t="n"/>
      <c r="F52" s="20">
        <f>IF(A52="","",WEEKNUM(A52,21))</f>
        <v/>
      </c>
      <c r="G52" s="21">
        <f>IF(OR(C52="",N(D52)=0),"",C52/D52)</f>
        <v/>
      </c>
      <c r="H52" s="21">
        <f>IF(A52="","",IFERROR(INDEX(Weight!$B$2:$B$1000,MATCH(IF(_xlfn.MAXIFS(Weight!$A$2:$A$1000,Weight!$A$2:$A$1000,"&lt;="&amp;A52)&gt;0,_xlfn.MAXIFS(Weight!$A$2:$A$1000,Weight!$A$2:$A$1000,"&lt;="&amp;A52),_xlfn.MINIFS(Weight!$A$2:$A$1000,Weight!$A$2:$A$1000,"&gt;0")),Weight!$A$2:$A$1000,0)),Settings!$B$6))</f>
        <v/>
      </c>
      <c r="I52" s="21">
        <f>IF(B52="","",IFERROR(INDEX(Settings!$B$10:$B$21,MATCH(B52,Settings!$A$10:$A$21,0)),4))</f>
        <v/>
      </c>
      <c r="J52" s="22">
        <f>IF(OR(A52="",C52="",I52=""),"",I52*H52*C52/60)</f>
        <v/>
      </c>
    </row>
    <row r="53">
      <c r="A53" s="35" t="n"/>
      <c r="B53" s="33" t="n"/>
      <c r="C53" s="31" t="n"/>
      <c r="D53" s="30" t="n"/>
      <c r="E53" s="33" t="n"/>
      <c r="F53" s="20">
        <f>IF(A53="","",WEEKNUM(A53,21))</f>
        <v/>
      </c>
      <c r="G53" s="21">
        <f>IF(OR(C53="",N(D53)=0),"",C53/D53)</f>
        <v/>
      </c>
      <c r="H53" s="21">
        <f>IF(A53="","",IFERROR(INDEX(Weight!$B$2:$B$1000,MATCH(IF(_xlfn.MAXIFS(Weight!$A$2:$A$1000,Weight!$A$2:$A$1000,"&lt;="&amp;A53)&gt;0,_xlfn.MAXIFS(Weight!$A$2:$A$1000,Weight!$A$2:$A$1000,"&lt;="&amp;A53),_xlfn.MINIFS(Weight!$A$2:$A$1000,Weight!$A$2:$A$1000,"&gt;0")),Weight!$A$2:$A$1000,0)),Settings!$B$6))</f>
        <v/>
      </c>
      <c r="I53" s="21">
        <f>IF(B53="","",IFERROR(INDEX(Settings!$B$10:$B$21,MATCH(B53,Settings!$A$10:$A$21,0)),4))</f>
        <v/>
      </c>
      <c r="J53" s="22">
        <f>IF(OR(A53="",C53="",I53=""),"",I53*H53*C53/60)</f>
        <v/>
      </c>
    </row>
    <row r="54">
      <c r="A54" s="35" t="n"/>
      <c r="B54" s="33" t="n"/>
      <c r="C54" s="31" t="n"/>
      <c r="D54" s="30" t="n"/>
      <c r="E54" s="33" t="n"/>
      <c r="F54" s="20">
        <f>IF(A54="","",WEEKNUM(A54,21))</f>
        <v/>
      </c>
      <c r="G54" s="21">
        <f>IF(OR(C54="",N(D54)=0),"",C54/D54)</f>
        <v/>
      </c>
      <c r="H54" s="21">
        <f>IF(A54="","",IFERROR(INDEX(Weight!$B$2:$B$1000,MATCH(IF(_xlfn.MAXIFS(Weight!$A$2:$A$1000,Weight!$A$2:$A$1000,"&lt;="&amp;A54)&gt;0,_xlfn.MAXIFS(Weight!$A$2:$A$1000,Weight!$A$2:$A$1000,"&lt;="&amp;A54),_xlfn.MINIFS(Weight!$A$2:$A$1000,Weight!$A$2:$A$1000,"&gt;0")),Weight!$A$2:$A$1000,0)),Settings!$B$6))</f>
        <v/>
      </c>
      <c r="I54" s="21">
        <f>IF(B54="","",IFERROR(INDEX(Settings!$B$10:$B$21,MATCH(B54,Settings!$A$10:$A$21,0)),4))</f>
        <v/>
      </c>
      <c r="J54" s="22">
        <f>IF(OR(A54="",C54="",I54=""),"",I54*H54*C54/60)</f>
        <v/>
      </c>
    </row>
    <row r="55">
      <c r="A55" s="35" t="n"/>
      <c r="B55" s="33" t="n"/>
      <c r="C55" s="31" t="n"/>
      <c r="D55" s="30" t="n"/>
      <c r="E55" s="33" t="n"/>
      <c r="F55" s="20">
        <f>IF(A55="","",WEEKNUM(A55,21))</f>
        <v/>
      </c>
      <c r="G55" s="21">
        <f>IF(OR(C55="",N(D55)=0),"",C55/D55)</f>
        <v/>
      </c>
      <c r="H55" s="21">
        <f>IF(A55="","",IFERROR(INDEX(Weight!$B$2:$B$1000,MATCH(IF(_xlfn.MAXIFS(Weight!$A$2:$A$1000,Weight!$A$2:$A$1000,"&lt;="&amp;A55)&gt;0,_xlfn.MAXIFS(Weight!$A$2:$A$1000,Weight!$A$2:$A$1000,"&lt;="&amp;A55),_xlfn.MINIFS(Weight!$A$2:$A$1000,Weight!$A$2:$A$1000,"&gt;0")),Weight!$A$2:$A$1000,0)),Settings!$B$6))</f>
        <v/>
      </c>
      <c r="I55" s="21">
        <f>IF(B55="","",IFERROR(INDEX(Settings!$B$10:$B$21,MATCH(B55,Settings!$A$10:$A$21,0)),4))</f>
        <v/>
      </c>
      <c r="J55" s="22">
        <f>IF(OR(A55="",C55="",I55=""),"",I55*H55*C55/60)</f>
        <v/>
      </c>
    </row>
    <row r="56">
      <c r="A56" s="35" t="n"/>
      <c r="B56" s="33" t="n"/>
      <c r="C56" s="31" t="n"/>
      <c r="D56" s="30" t="n"/>
      <c r="E56" s="33" t="n"/>
      <c r="F56" s="20">
        <f>IF(A56="","",WEEKNUM(A56,21))</f>
        <v/>
      </c>
      <c r="G56" s="21">
        <f>IF(OR(C56="",N(D56)=0),"",C56/D56)</f>
        <v/>
      </c>
      <c r="H56" s="21">
        <f>IF(A56="","",IFERROR(INDEX(Weight!$B$2:$B$1000,MATCH(IF(_xlfn.MAXIFS(Weight!$A$2:$A$1000,Weight!$A$2:$A$1000,"&lt;="&amp;A56)&gt;0,_xlfn.MAXIFS(Weight!$A$2:$A$1000,Weight!$A$2:$A$1000,"&lt;="&amp;A56),_xlfn.MINIFS(Weight!$A$2:$A$1000,Weight!$A$2:$A$1000,"&gt;0")),Weight!$A$2:$A$1000,0)),Settings!$B$6))</f>
        <v/>
      </c>
      <c r="I56" s="21">
        <f>IF(B56="","",IFERROR(INDEX(Settings!$B$10:$B$21,MATCH(B56,Settings!$A$10:$A$21,0)),4))</f>
        <v/>
      </c>
      <c r="J56" s="22">
        <f>IF(OR(A56="",C56="",I56=""),"",I56*H56*C56/60)</f>
        <v/>
      </c>
    </row>
    <row r="57">
      <c r="A57" s="35" t="n"/>
      <c r="B57" s="33" t="n"/>
      <c r="C57" s="31" t="n"/>
      <c r="D57" s="30" t="n"/>
      <c r="E57" s="33" t="n"/>
      <c r="F57" s="20">
        <f>IF(A57="","",WEEKNUM(A57,21))</f>
        <v/>
      </c>
      <c r="G57" s="21">
        <f>IF(OR(C57="",N(D57)=0),"",C57/D57)</f>
        <v/>
      </c>
      <c r="H57" s="21">
        <f>IF(A57="","",IFERROR(INDEX(Weight!$B$2:$B$1000,MATCH(IF(_xlfn.MAXIFS(Weight!$A$2:$A$1000,Weight!$A$2:$A$1000,"&lt;="&amp;A57)&gt;0,_xlfn.MAXIFS(Weight!$A$2:$A$1000,Weight!$A$2:$A$1000,"&lt;="&amp;A57),_xlfn.MINIFS(Weight!$A$2:$A$1000,Weight!$A$2:$A$1000,"&gt;0")),Weight!$A$2:$A$1000,0)),Settings!$B$6))</f>
        <v/>
      </c>
      <c r="I57" s="21">
        <f>IF(B57="","",IFERROR(INDEX(Settings!$B$10:$B$21,MATCH(B57,Settings!$A$10:$A$21,0)),4))</f>
        <v/>
      </c>
      <c r="J57" s="22">
        <f>IF(OR(A57="",C57="",I57=""),"",I57*H57*C57/60)</f>
        <v/>
      </c>
    </row>
    <row r="58">
      <c r="A58" s="35" t="n"/>
      <c r="B58" s="33" t="n"/>
      <c r="C58" s="31" t="n"/>
      <c r="D58" s="30" t="n"/>
      <c r="E58" s="33" t="n"/>
      <c r="F58" s="20">
        <f>IF(A58="","",WEEKNUM(A58,21))</f>
        <v/>
      </c>
      <c r="G58" s="21">
        <f>IF(OR(C58="",N(D58)=0),"",C58/D58)</f>
        <v/>
      </c>
      <c r="H58" s="21">
        <f>IF(A58="","",IFERROR(INDEX(Weight!$B$2:$B$1000,MATCH(IF(_xlfn.MAXIFS(Weight!$A$2:$A$1000,Weight!$A$2:$A$1000,"&lt;="&amp;A58)&gt;0,_xlfn.MAXIFS(Weight!$A$2:$A$1000,Weight!$A$2:$A$1000,"&lt;="&amp;A58),_xlfn.MINIFS(Weight!$A$2:$A$1000,Weight!$A$2:$A$1000,"&gt;0")),Weight!$A$2:$A$1000,0)),Settings!$B$6))</f>
        <v/>
      </c>
      <c r="I58" s="21">
        <f>IF(B58="","",IFERROR(INDEX(Settings!$B$10:$B$21,MATCH(B58,Settings!$A$10:$A$21,0)),4))</f>
        <v/>
      </c>
      <c r="J58" s="22">
        <f>IF(OR(A58="",C58="",I58=""),"",I58*H58*C58/60)</f>
        <v/>
      </c>
    </row>
    <row r="59">
      <c r="A59" s="35" t="n"/>
      <c r="B59" s="33" t="n"/>
      <c r="C59" s="31" t="n"/>
      <c r="D59" s="30" t="n"/>
      <c r="E59" s="33" t="n"/>
      <c r="F59" s="20">
        <f>IF(A59="","",WEEKNUM(A59,21))</f>
        <v/>
      </c>
      <c r="G59" s="21">
        <f>IF(OR(C59="",N(D59)=0),"",C59/D59)</f>
        <v/>
      </c>
      <c r="H59" s="21">
        <f>IF(A59="","",IFERROR(INDEX(Weight!$B$2:$B$1000,MATCH(IF(_xlfn.MAXIFS(Weight!$A$2:$A$1000,Weight!$A$2:$A$1000,"&lt;="&amp;A59)&gt;0,_xlfn.MAXIFS(Weight!$A$2:$A$1000,Weight!$A$2:$A$1000,"&lt;="&amp;A59),_xlfn.MINIFS(Weight!$A$2:$A$1000,Weight!$A$2:$A$1000,"&gt;0")),Weight!$A$2:$A$1000,0)),Settings!$B$6))</f>
        <v/>
      </c>
      <c r="I59" s="21">
        <f>IF(B59="","",IFERROR(INDEX(Settings!$B$10:$B$21,MATCH(B59,Settings!$A$10:$A$21,0)),4))</f>
        <v/>
      </c>
      <c r="J59" s="22">
        <f>IF(OR(A59="",C59="",I59=""),"",I59*H59*C59/60)</f>
        <v/>
      </c>
    </row>
    <row r="60">
      <c r="A60" s="35" t="n"/>
      <c r="B60" s="33" t="n"/>
      <c r="C60" s="31" t="n"/>
      <c r="D60" s="30" t="n"/>
      <c r="E60" s="33" t="n"/>
      <c r="F60" s="20">
        <f>IF(A60="","",WEEKNUM(A60,21))</f>
        <v/>
      </c>
      <c r="G60" s="21">
        <f>IF(OR(C60="",N(D60)=0),"",C60/D60)</f>
        <v/>
      </c>
      <c r="H60" s="21">
        <f>IF(A60="","",IFERROR(INDEX(Weight!$B$2:$B$1000,MATCH(IF(_xlfn.MAXIFS(Weight!$A$2:$A$1000,Weight!$A$2:$A$1000,"&lt;="&amp;A60)&gt;0,_xlfn.MAXIFS(Weight!$A$2:$A$1000,Weight!$A$2:$A$1000,"&lt;="&amp;A60),_xlfn.MINIFS(Weight!$A$2:$A$1000,Weight!$A$2:$A$1000,"&gt;0")),Weight!$A$2:$A$1000,0)),Settings!$B$6))</f>
        <v/>
      </c>
      <c r="I60" s="21">
        <f>IF(B60="","",IFERROR(INDEX(Settings!$B$10:$B$21,MATCH(B60,Settings!$A$10:$A$21,0)),4))</f>
        <v/>
      </c>
      <c r="J60" s="22">
        <f>IF(OR(A60="",C60="",I60=""),"",I60*H60*C60/60)</f>
        <v/>
      </c>
    </row>
    <row r="61">
      <c r="A61" s="35" t="n"/>
      <c r="B61" s="33" t="n"/>
      <c r="C61" s="31" t="n"/>
      <c r="D61" s="30" t="n"/>
      <c r="E61" s="33" t="n"/>
      <c r="F61" s="20">
        <f>IF(A61="","",WEEKNUM(A61,21))</f>
        <v/>
      </c>
      <c r="G61" s="21">
        <f>IF(OR(C61="",N(D61)=0),"",C61/D61)</f>
        <v/>
      </c>
      <c r="H61" s="21">
        <f>IF(A61="","",IFERROR(INDEX(Weight!$B$2:$B$1000,MATCH(IF(_xlfn.MAXIFS(Weight!$A$2:$A$1000,Weight!$A$2:$A$1000,"&lt;="&amp;A61)&gt;0,_xlfn.MAXIFS(Weight!$A$2:$A$1000,Weight!$A$2:$A$1000,"&lt;="&amp;A61),_xlfn.MINIFS(Weight!$A$2:$A$1000,Weight!$A$2:$A$1000,"&gt;0")),Weight!$A$2:$A$1000,0)),Settings!$B$6))</f>
        <v/>
      </c>
      <c r="I61" s="21">
        <f>IF(B61="","",IFERROR(INDEX(Settings!$B$10:$B$21,MATCH(B61,Settings!$A$10:$A$21,0)),4))</f>
        <v/>
      </c>
      <c r="J61" s="22">
        <f>IF(OR(A61="",C61="",I61=""),"",I61*H61*C61/60)</f>
        <v/>
      </c>
    </row>
    <row r="62">
      <c r="A62" s="35" t="n"/>
      <c r="B62" s="33" t="n"/>
      <c r="C62" s="31" t="n"/>
      <c r="D62" s="30" t="n"/>
      <c r="E62" s="33" t="n"/>
      <c r="F62" s="20">
        <f>IF(A62="","",WEEKNUM(A62,21))</f>
        <v/>
      </c>
      <c r="G62" s="21">
        <f>IF(OR(C62="",N(D62)=0),"",C62/D62)</f>
        <v/>
      </c>
      <c r="H62" s="21">
        <f>IF(A62="","",IFERROR(INDEX(Weight!$B$2:$B$1000,MATCH(IF(_xlfn.MAXIFS(Weight!$A$2:$A$1000,Weight!$A$2:$A$1000,"&lt;="&amp;A62)&gt;0,_xlfn.MAXIFS(Weight!$A$2:$A$1000,Weight!$A$2:$A$1000,"&lt;="&amp;A62),_xlfn.MINIFS(Weight!$A$2:$A$1000,Weight!$A$2:$A$1000,"&gt;0")),Weight!$A$2:$A$1000,0)),Settings!$B$6))</f>
        <v/>
      </c>
      <c r="I62" s="21">
        <f>IF(B62="","",IFERROR(INDEX(Settings!$B$10:$B$21,MATCH(B62,Settings!$A$10:$A$21,0)),4))</f>
        <v/>
      </c>
      <c r="J62" s="22">
        <f>IF(OR(A62="",C62="",I62=""),"",I62*H62*C62/60)</f>
        <v/>
      </c>
    </row>
    <row r="63">
      <c r="A63" s="35" t="n"/>
      <c r="B63" s="33" t="n"/>
      <c r="C63" s="31" t="n"/>
      <c r="D63" s="30" t="n"/>
      <c r="E63" s="33" t="n"/>
      <c r="F63" s="20">
        <f>IF(A63="","",WEEKNUM(A63,21))</f>
        <v/>
      </c>
      <c r="G63" s="21">
        <f>IF(OR(C63="",N(D63)=0),"",C63/D63)</f>
        <v/>
      </c>
      <c r="H63" s="21">
        <f>IF(A63="","",IFERROR(INDEX(Weight!$B$2:$B$1000,MATCH(IF(_xlfn.MAXIFS(Weight!$A$2:$A$1000,Weight!$A$2:$A$1000,"&lt;="&amp;A63)&gt;0,_xlfn.MAXIFS(Weight!$A$2:$A$1000,Weight!$A$2:$A$1000,"&lt;="&amp;A63),_xlfn.MINIFS(Weight!$A$2:$A$1000,Weight!$A$2:$A$1000,"&gt;0")),Weight!$A$2:$A$1000,0)),Settings!$B$6))</f>
        <v/>
      </c>
      <c r="I63" s="21">
        <f>IF(B63="","",IFERROR(INDEX(Settings!$B$10:$B$21,MATCH(B63,Settings!$A$10:$A$21,0)),4))</f>
        <v/>
      </c>
      <c r="J63" s="22">
        <f>IF(OR(A63="",C63="",I63=""),"",I63*H63*C63/60)</f>
        <v/>
      </c>
    </row>
    <row r="64">
      <c r="A64" s="35" t="n"/>
      <c r="B64" s="33" t="n"/>
      <c r="C64" s="31" t="n"/>
      <c r="D64" s="30" t="n"/>
      <c r="E64" s="33" t="n"/>
      <c r="F64" s="20">
        <f>IF(A64="","",WEEKNUM(A64,21))</f>
        <v/>
      </c>
      <c r="G64" s="21">
        <f>IF(OR(C64="",N(D64)=0),"",C64/D64)</f>
        <v/>
      </c>
      <c r="H64" s="21">
        <f>IF(A64="","",IFERROR(INDEX(Weight!$B$2:$B$1000,MATCH(IF(_xlfn.MAXIFS(Weight!$A$2:$A$1000,Weight!$A$2:$A$1000,"&lt;="&amp;A64)&gt;0,_xlfn.MAXIFS(Weight!$A$2:$A$1000,Weight!$A$2:$A$1000,"&lt;="&amp;A64),_xlfn.MINIFS(Weight!$A$2:$A$1000,Weight!$A$2:$A$1000,"&gt;0")),Weight!$A$2:$A$1000,0)),Settings!$B$6))</f>
        <v/>
      </c>
      <c r="I64" s="21">
        <f>IF(B64="","",IFERROR(INDEX(Settings!$B$10:$B$21,MATCH(B64,Settings!$A$10:$A$21,0)),4))</f>
        <v/>
      </c>
      <c r="J64" s="22">
        <f>IF(OR(A64="",C64="",I64=""),"",I64*H64*C64/60)</f>
        <v/>
      </c>
    </row>
    <row r="65">
      <c r="A65" s="35" t="n"/>
      <c r="B65" s="33" t="n"/>
      <c r="C65" s="31" t="n"/>
      <c r="D65" s="30" t="n"/>
      <c r="E65" s="33" t="n"/>
      <c r="F65" s="20">
        <f>IF(A65="","",WEEKNUM(A65,21))</f>
        <v/>
      </c>
      <c r="G65" s="21">
        <f>IF(OR(C65="",N(D65)=0),"",C65/D65)</f>
        <v/>
      </c>
      <c r="H65" s="21">
        <f>IF(A65="","",IFERROR(INDEX(Weight!$B$2:$B$1000,MATCH(IF(_xlfn.MAXIFS(Weight!$A$2:$A$1000,Weight!$A$2:$A$1000,"&lt;="&amp;A65)&gt;0,_xlfn.MAXIFS(Weight!$A$2:$A$1000,Weight!$A$2:$A$1000,"&lt;="&amp;A65),_xlfn.MINIFS(Weight!$A$2:$A$1000,Weight!$A$2:$A$1000,"&gt;0")),Weight!$A$2:$A$1000,0)),Settings!$B$6))</f>
        <v/>
      </c>
      <c r="I65" s="21">
        <f>IF(B65="","",IFERROR(INDEX(Settings!$B$10:$B$21,MATCH(B65,Settings!$A$10:$A$21,0)),4))</f>
        <v/>
      </c>
      <c r="J65" s="22">
        <f>IF(OR(A65="",C65="",I65=""),"",I65*H65*C65/60)</f>
        <v/>
      </c>
    </row>
    <row r="66">
      <c r="A66" s="35" t="n"/>
      <c r="B66" s="33" t="n"/>
      <c r="C66" s="31" t="n"/>
      <c r="D66" s="30" t="n"/>
      <c r="E66" s="33" t="n"/>
      <c r="F66" s="20">
        <f>IF(A66="","",WEEKNUM(A66,21))</f>
        <v/>
      </c>
      <c r="G66" s="21">
        <f>IF(OR(C66="",N(D66)=0),"",C66/D66)</f>
        <v/>
      </c>
      <c r="H66" s="21">
        <f>IF(A66="","",IFERROR(INDEX(Weight!$B$2:$B$1000,MATCH(IF(_xlfn.MAXIFS(Weight!$A$2:$A$1000,Weight!$A$2:$A$1000,"&lt;="&amp;A66)&gt;0,_xlfn.MAXIFS(Weight!$A$2:$A$1000,Weight!$A$2:$A$1000,"&lt;="&amp;A66),_xlfn.MINIFS(Weight!$A$2:$A$1000,Weight!$A$2:$A$1000,"&gt;0")),Weight!$A$2:$A$1000,0)),Settings!$B$6))</f>
        <v/>
      </c>
      <c r="I66" s="21">
        <f>IF(B66="","",IFERROR(INDEX(Settings!$B$10:$B$21,MATCH(B66,Settings!$A$10:$A$21,0)),4))</f>
        <v/>
      </c>
      <c r="J66" s="22">
        <f>IF(OR(A66="",C66="",I66=""),"",I66*H66*C66/60)</f>
        <v/>
      </c>
    </row>
    <row r="67">
      <c r="A67" s="35" t="n"/>
      <c r="B67" s="33" t="n"/>
      <c r="C67" s="31" t="n"/>
      <c r="D67" s="30" t="n"/>
      <c r="E67" s="33" t="n"/>
      <c r="F67" s="20">
        <f>IF(A67="","",WEEKNUM(A67,21))</f>
        <v/>
      </c>
      <c r="G67" s="21">
        <f>IF(OR(C67="",N(D67)=0),"",C67/D67)</f>
        <v/>
      </c>
      <c r="H67" s="21">
        <f>IF(A67="","",IFERROR(INDEX(Weight!$B$2:$B$1000,MATCH(IF(_xlfn.MAXIFS(Weight!$A$2:$A$1000,Weight!$A$2:$A$1000,"&lt;="&amp;A67)&gt;0,_xlfn.MAXIFS(Weight!$A$2:$A$1000,Weight!$A$2:$A$1000,"&lt;="&amp;A67),_xlfn.MINIFS(Weight!$A$2:$A$1000,Weight!$A$2:$A$1000,"&gt;0")),Weight!$A$2:$A$1000,0)),Settings!$B$6))</f>
        <v/>
      </c>
      <c r="I67" s="21">
        <f>IF(B67="","",IFERROR(INDEX(Settings!$B$10:$B$21,MATCH(B67,Settings!$A$10:$A$21,0)),4))</f>
        <v/>
      </c>
      <c r="J67" s="22">
        <f>IF(OR(A67="",C67="",I67=""),"",I67*H67*C67/60)</f>
        <v/>
      </c>
    </row>
    <row r="68">
      <c r="A68" s="35" t="n"/>
      <c r="B68" s="33" t="n"/>
      <c r="C68" s="31" t="n"/>
      <c r="D68" s="30" t="n"/>
      <c r="E68" s="33" t="n"/>
      <c r="F68" s="20">
        <f>IF(A68="","",WEEKNUM(A68,21))</f>
        <v/>
      </c>
      <c r="G68" s="21">
        <f>IF(OR(C68="",N(D68)=0),"",C68/D68)</f>
        <v/>
      </c>
      <c r="H68" s="21">
        <f>IF(A68="","",IFERROR(INDEX(Weight!$B$2:$B$1000,MATCH(IF(_xlfn.MAXIFS(Weight!$A$2:$A$1000,Weight!$A$2:$A$1000,"&lt;="&amp;A68)&gt;0,_xlfn.MAXIFS(Weight!$A$2:$A$1000,Weight!$A$2:$A$1000,"&lt;="&amp;A68),_xlfn.MINIFS(Weight!$A$2:$A$1000,Weight!$A$2:$A$1000,"&gt;0")),Weight!$A$2:$A$1000,0)),Settings!$B$6))</f>
        <v/>
      </c>
      <c r="I68" s="21">
        <f>IF(B68="","",IFERROR(INDEX(Settings!$B$10:$B$21,MATCH(B68,Settings!$A$10:$A$21,0)),4))</f>
        <v/>
      </c>
      <c r="J68" s="22">
        <f>IF(OR(A68="",C68="",I68=""),"",I68*H68*C68/60)</f>
        <v/>
      </c>
    </row>
    <row r="69">
      <c r="A69" s="35" t="n"/>
      <c r="B69" s="33" t="n"/>
      <c r="C69" s="31" t="n"/>
      <c r="D69" s="30" t="n"/>
      <c r="E69" s="33" t="n"/>
      <c r="F69" s="20">
        <f>IF(A69="","",WEEKNUM(A69,21))</f>
        <v/>
      </c>
      <c r="G69" s="21">
        <f>IF(OR(C69="",N(D69)=0),"",C69/D69)</f>
        <v/>
      </c>
      <c r="H69" s="21">
        <f>IF(A69="","",IFERROR(INDEX(Weight!$B$2:$B$1000,MATCH(IF(_xlfn.MAXIFS(Weight!$A$2:$A$1000,Weight!$A$2:$A$1000,"&lt;="&amp;A69)&gt;0,_xlfn.MAXIFS(Weight!$A$2:$A$1000,Weight!$A$2:$A$1000,"&lt;="&amp;A69),_xlfn.MINIFS(Weight!$A$2:$A$1000,Weight!$A$2:$A$1000,"&gt;0")),Weight!$A$2:$A$1000,0)),Settings!$B$6))</f>
        <v/>
      </c>
      <c r="I69" s="21">
        <f>IF(B69="","",IFERROR(INDEX(Settings!$B$10:$B$21,MATCH(B69,Settings!$A$10:$A$21,0)),4))</f>
        <v/>
      </c>
      <c r="J69" s="22">
        <f>IF(OR(A69="",C69="",I69=""),"",I69*H69*C69/60)</f>
        <v/>
      </c>
    </row>
    <row r="70">
      <c r="A70" s="35" t="n"/>
      <c r="B70" s="33" t="n"/>
      <c r="C70" s="31" t="n"/>
      <c r="D70" s="30" t="n"/>
      <c r="E70" s="33" t="n"/>
      <c r="F70" s="20">
        <f>IF(A70="","",WEEKNUM(A70,21))</f>
        <v/>
      </c>
      <c r="G70" s="21">
        <f>IF(OR(C70="",N(D70)=0),"",C70/D70)</f>
        <v/>
      </c>
      <c r="H70" s="21">
        <f>IF(A70="","",IFERROR(INDEX(Weight!$B$2:$B$1000,MATCH(IF(_xlfn.MAXIFS(Weight!$A$2:$A$1000,Weight!$A$2:$A$1000,"&lt;="&amp;A70)&gt;0,_xlfn.MAXIFS(Weight!$A$2:$A$1000,Weight!$A$2:$A$1000,"&lt;="&amp;A70),_xlfn.MINIFS(Weight!$A$2:$A$1000,Weight!$A$2:$A$1000,"&gt;0")),Weight!$A$2:$A$1000,0)),Settings!$B$6))</f>
        <v/>
      </c>
      <c r="I70" s="21">
        <f>IF(B70="","",IFERROR(INDEX(Settings!$B$10:$B$21,MATCH(B70,Settings!$A$10:$A$21,0)),4))</f>
        <v/>
      </c>
      <c r="J70" s="22">
        <f>IF(OR(A70="",C70="",I70=""),"",I70*H70*C70/60)</f>
        <v/>
      </c>
    </row>
    <row r="71">
      <c r="A71" s="35" t="n"/>
      <c r="B71" s="33" t="n"/>
      <c r="C71" s="31" t="n"/>
      <c r="D71" s="30" t="n"/>
      <c r="E71" s="33" t="n"/>
      <c r="F71" s="20">
        <f>IF(A71="","",WEEKNUM(A71,21))</f>
        <v/>
      </c>
      <c r="G71" s="21">
        <f>IF(OR(C71="",N(D71)=0),"",C71/D71)</f>
        <v/>
      </c>
      <c r="H71" s="21">
        <f>IF(A71="","",IFERROR(INDEX(Weight!$B$2:$B$1000,MATCH(IF(_xlfn.MAXIFS(Weight!$A$2:$A$1000,Weight!$A$2:$A$1000,"&lt;="&amp;A71)&gt;0,_xlfn.MAXIFS(Weight!$A$2:$A$1000,Weight!$A$2:$A$1000,"&lt;="&amp;A71),_xlfn.MINIFS(Weight!$A$2:$A$1000,Weight!$A$2:$A$1000,"&gt;0")),Weight!$A$2:$A$1000,0)),Settings!$B$6))</f>
        <v/>
      </c>
      <c r="I71" s="21">
        <f>IF(B71="","",IFERROR(INDEX(Settings!$B$10:$B$21,MATCH(B71,Settings!$A$10:$A$21,0)),4))</f>
        <v/>
      </c>
      <c r="J71" s="22">
        <f>IF(OR(A71="",C71="",I71=""),"",I71*H71*C71/60)</f>
        <v/>
      </c>
    </row>
    <row r="72">
      <c r="A72" s="35" t="n"/>
      <c r="B72" s="33" t="n"/>
      <c r="C72" s="31" t="n"/>
      <c r="D72" s="30" t="n"/>
      <c r="E72" s="33" t="n"/>
      <c r="F72" s="20">
        <f>IF(A72="","",WEEKNUM(A72,21))</f>
        <v/>
      </c>
      <c r="G72" s="21">
        <f>IF(OR(C72="",N(D72)=0),"",C72/D72)</f>
        <v/>
      </c>
      <c r="H72" s="21">
        <f>IF(A72="","",IFERROR(INDEX(Weight!$B$2:$B$1000,MATCH(IF(_xlfn.MAXIFS(Weight!$A$2:$A$1000,Weight!$A$2:$A$1000,"&lt;="&amp;A72)&gt;0,_xlfn.MAXIFS(Weight!$A$2:$A$1000,Weight!$A$2:$A$1000,"&lt;="&amp;A72),_xlfn.MINIFS(Weight!$A$2:$A$1000,Weight!$A$2:$A$1000,"&gt;0")),Weight!$A$2:$A$1000,0)),Settings!$B$6))</f>
        <v/>
      </c>
      <c r="I72" s="21">
        <f>IF(B72="","",IFERROR(INDEX(Settings!$B$10:$B$21,MATCH(B72,Settings!$A$10:$A$21,0)),4))</f>
        <v/>
      </c>
      <c r="J72" s="22">
        <f>IF(OR(A72="",C72="",I72=""),"",I72*H72*C72/60)</f>
        <v/>
      </c>
    </row>
    <row r="73">
      <c r="A73" s="35" t="n"/>
      <c r="B73" s="33" t="n"/>
      <c r="C73" s="31" t="n"/>
      <c r="D73" s="30" t="n"/>
      <c r="E73" s="33" t="n"/>
      <c r="F73" s="20">
        <f>IF(A73="","",WEEKNUM(A73,21))</f>
        <v/>
      </c>
      <c r="G73" s="21">
        <f>IF(OR(C73="",N(D73)=0),"",C73/D73)</f>
        <v/>
      </c>
      <c r="H73" s="21">
        <f>IF(A73="","",IFERROR(INDEX(Weight!$B$2:$B$1000,MATCH(IF(_xlfn.MAXIFS(Weight!$A$2:$A$1000,Weight!$A$2:$A$1000,"&lt;="&amp;A73)&gt;0,_xlfn.MAXIFS(Weight!$A$2:$A$1000,Weight!$A$2:$A$1000,"&lt;="&amp;A73),_xlfn.MINIFS(Weight!$A$2:$A$1000,Weight!$A$2:$A$1000,"&gt;0")),Weight!$A$2:$A$1000,0)),Settings!$B$6))</f>
        <v/>
      </c>
      <c r="I73" s="21">
        <f>IF(B73="","",IFERROR(INDEX(Settings!$B$10:$B$21,MATCH(B73,Settings!$A$10:$A$21,0)),4))</f>
        <v/>
      </c>
      <c r="J73" s="22">
        <f>IF(OR(A73="",C73="",I73=""),"",I73*H73*C73/60)</f>
        <v/>
      </c>
    </row>
    <row r="74">
      <c r="A74" s="35" t="n"/>
      <c r="B74" s="33" t="n"/>
      <c r="C74" s="31" t="n"/>
      <c r="D74" s="30" t="n"/>
      <c r="E74" s="33" t="n"/>
      <c r="F74" s="20">
        <f>IF(A74="","",WEEKNUM(A74,21))</f>
        <v/>
      </c>
      <c r="G74" s="21">
        <f>IF(OR(C74="",N(D74)=0),"",C74/D74)</f>
        <v/>
      </c>
      <c r="H74" s="21">
        <f>IF(A74="","",IFERROR(INDEX(Weight!$B$2:$B$1000,MATCH(IF(_xlfn.MAXIFS(Weight!$A$2:$A$1000,Weight!$A$2:$A$1000,"&lt;="&amp;A74)&gt;0,_xlfn.MAXIFS(Weight!$A$2:$A$1000,Weight!$A$2:$A$1000,"&lt;="&amp;A74),_xlfn.MINIFS(Weight!$A$2:$A$1000,Weight!$A$2:$A$1000,"&gt;0")),Weight!$A$2:$A$1000,0)),Settings!$B$6))</f>
        <v/>
      </c>
      <c r="I74" s="21">
        <f>IF(B74="","",IFERROR(INDEX(Settings!$B$10:$B$21,MATCH(B74,Settings!$A$10:$A$21,0)),4))</f>
        <v/>
      </c>
      <c r="J74" s="22">
        <f>IF(OR(A74="",C74="",I74=""),"",I74*H74*C74/60)</f>
        <v/>
      </c>
    </row>
    <row r="75">
      <c r="A75" s="35" t="n"/>
      <c r="B75" s="33" t="n"/>
      <c r="C75" s="31" t="n"/>
      <c r="D75" s="30" t="n"/>
      <c r="E75" s="33" t="n"/>
      <c r="F75" s="20">
        <f>IF(A75="","",WEEKNUM(A75,21))</f>
        <v/>
      </c>
      <c r="G75" s="21">
        <f>IF(OR(C75="",N(D75)=0),"",C75/D75)</f>
        <v/>
      </c>
      <c r="H75" s="21">
        <f>IF(A75="","",IFERROR(INDEX(Weight!$B$2:$B$1000,MATCH(IF(_xlfn.MAXIFS(Weight!$A$2:$A$1000,Weight!$A$2:$A$1000,"&lt;="&amp;A75)&gt;0,_xlfn.MAXIFS(Weight!$A$2:$A$1000,Weight!$A$2:$A$1000,"&lt;="&amp;A75),_xlfn.MINIFS(Weight!$A$2:$A$1000,Weight!$A$2:$A$1000,"&gt;0")),Weight!$A$2:$A$1000,0)),Settings!$B$6))</f>
        <v/>
      </c>
      <c r="I75" s="21">
        <f>IF(B75="","",IFERROR(INDEX(Settings!$B$10:$B$21,MATCH(B75,Settings!$A$10:$A$21,0)),4))</f>
        <v/>
      </c>
      <c r="J75" s="22">
        <f>IF(OR(A75="",C75="",I75=""),"",I75*H75*C75/60)</f>
        <v/>
      </c>
    </row>
    <row r="76">
      <c r="A76" s="35" t="n"/>
      <c r="B76" s="33" t="n"/>
      <c r="C76" s="31" t="n"/>
      <c r="D76" s="30" t="n"/>
      <c r="E76" s="33" t="n"/>
      <c r="F76" s="20">
        <f>IF(A76="","",WEEKNUM(A76,21))</f>
        <v/>
      </c>
      <c r="G76" s="21">
        <f>IF(OR(C76="",N(D76)=0),"",C76/D76)</f>
        <v/>
      </c>
      <c r="H76" s="21">
        <f>IF(A76="","",IFERROR(INDEX(Weight!$B$2:$B$1000,MATCH(IF(_xlfn.MAXIFS(Weight!$A$2:$A$1000,Weight!$A$2:$A$1000,"&lt;="&amp;A76)&gt;0,_xlfn.MAXIFS(Weight!$A$2:$A$1000,Weight!$A$2:$A$1000,"&lt;="&amp;A76),_xlfn.MINIFS(Weight!$A$2:$A$1000,Weight!$A$2:$A$1000,"&gt;0")),Weight!$A$2:$A$1000,0)),Settings!$B$6))</f>
        <v/>
      </c>
      <c r="I76" s="21">
        <f>IF(B76="","",IFERROR(INDEX(Settings!$B$10:$B$21,MATCH(B76,Settings!$A$10:$A$21,0)),4))</f>
        <v/>
      </c>
      <c r="J76" s="22">
        <f>IF(OR(A76="",C76="",I76=""),"",I76*H76*C76/60)</f>
        <v/>
      </c>
    </row>
    <row r="77">
      <c r="A77" s="35" t="n"/>
      <c r="B77" s="33" t="n"/>
      <c r="C77" s="31" t="n"/>
      <c r="D77" s="30" t="n"/>
      <c r="E77" s="33" t="n"/>
      <c r="F77" s="20">
        <f>IF(A77="","",WEEKNUM(A77,21))</f>
        <v/>
      </c>
      <c r="G77" s="21">
        <f>IF(OR(C77="",N(D77)=0),"",C77/D77)</f>
        <v/>
      </c>
      <c r="H77" s="21">
        <f>IF(A77="","",IFERROR(INDEX(Weight!$B$2:$B$1000,MATCH(IF(_xlfn.MAXIFS(Weight!$A$2:$A$1000,Weight!$A$2:$A$1000,"&lt;="&amp;A77)&gt;0,_xlfn.MAXIFS(Weight!$A$2:$A$1000,Weight!$A$2:$A$1000,"&lt;="&amp;A77),_xlfn.MINIFS(Weight!$A$2:$A$1000,Weight!$A$2:$A$1000,"&gt;0")),Weight!$A$2:$A$1000,0)),Settings!$B$6))</f>
        <v/>
      </c>
      <c r="I77" s="21">
        <f>IF(B77="","",IFERROR(INDEX(Settings!$B$10:$B$21,MATCH(B77,Settings!$A$10:$A$21,0)),4))</f>
        <v/>
      </c>
      <c r="J77" s="22">
        <f>IF(OR(A77="",C77="",I77=""),"",I77*H77*C77/60)</f>
        <v/>
      </c>
    </row>
    <row r="78">
      <c r="A78" s="35" t="n"/>
      <c r="B78" s="33" t="n"/>
      <c r="C78" s="31" t="n"/>
      <c r="D78" s="30" t="n"/>
      <c r="E78" s="33" t="n"/>
      <c r="F78" s="20">
        <f>IF(A78="","",WEEKNUM(A78,21))</f>
        <v/>
      </c>
      <c r="G78" s="21">
        <f>IF(OR(C78="",N(D78)=0),"",C78/D78)</f>
        <v/>
      </c>
      <c r="H78" s="21">
        <f>IF(A78="","",IFERROR(INDEX(Weight!$B$2:$B$1000,MATCH(IF(_xlfn.MAXIFS(Weight!$A$2:$A$1000,Weight!$A$2:$A$1000,"&lt;="&amp;A78)&gt;0,_xlfn.MAXIFS(Weight!$A$2:$A$1000,Weight!$A$2:$A$1000,"&lt;="&amp;A78),_xlfn.MINIFS(Weight!$A$2:$A$1000,Weight!$A$2:$A$1000,"&gt;0")),Weight!$A$2:$A$1000,0)),Settings!$B$6))</f>
        <v/>
      </c>
      <c r="I78" s="21">
        <f>IF(B78="","",IFERROR(INDEX(Settings!$B$10:$B$21,MATCH(B78,Settings!$A$10:$A$21,0)),4))</f>
        <v/>
      </c>
      <c r="J78" s="22">
        <f>IF(OR(A78="",C78="",I78=""),"",I78*H78*C78/60)</f>
        <v/>
      </c>
    </row>
    <row r="79">
      <c r="A79" s="35" t="n"/>
      <c r="B79" s="33" t="n"/>
      <c r="C79" s="31" t="n"/>
      <c r="D79" s="30" t="n"/>
      <c r="E79" s="33" t="n"/>
      <c r="F79" s="20">
        <f>IF(A79="","",WEEKNUM(A79,21))</f>
        <v/>
      </c>
      <c r="G79" s="21">
        <f>IF(OR(C79="",N(D79)=0),"",C79/D79)</f>
        <v/>
      </c>
      <c r="H79" s="21">
        <f>IF(A79="","",IFERROR(INDEX(Weight!$B$2:$B$1000,MATCH(IF(_xlfn.MAXIFS(Weight!$A$2:$A$1000,Weight!$A$2:$A$1000,"&lt;="&amp;A79)&gt;0,_xlfn.MAXIFS(Weight!$A$2:$A$1000,Weight!$A$2:$A$1000,"&lt;="&amp;A79),_xlfn.MINIFS(Weight!$A$2:$A$1000,Weight!$A$2:$A$1000,"&gt;0")),Weight!$A$2:$A$1000,0)),Settings!$B$6))</f>
        <v/>
      </c>
      <c r="I79" s="21">
        <f>IF(B79="","",IFERROR(INDEX(Settings!$B$10:$B$21,MATCH(B79,Settings!$A$10:$A$21,0)),4))</f>
        <v/>
      </c>
      <c r="J79" s="22">
        <f>IF(OR(A79="",C79="",I79=""),"",I79*H79*C79/60)</f>
        <v/>
      </c>
    </row>
    <row r="80">
      <c r="A80" s="35" t="n"/>
      <c r="B80" s="33" t="n"/>
      <c r="C80" s="31" t="n"/>
      <c r="D80" s="30" t="n"/>
      <c r="E80" s="33" t="n"/>
      <c r="F80" s="20">
        <f>IF(A80="","",WEEKNUM(A80,21))</f>
        <v/>
      </c>
      <c r="G80" s="21">
        <f>IF(OR(C80="",N(D80)=0),"",C80/D80)</f>
        <v/>
      </c>
      <c r="H80" s="21">
        <f>IF(A80="","",IFERROR(INDEX(Weight!$B$2:$B$1000,MATCH(IF(_xlfn.MAXIFS(Weight!$A$2:$A$1000,Weight!$A$2:$A$1000,"&lt;="&amp;A80)&gt;0,_xlfn.MAXIFS(Weight!$A$2:$A$1000,Weight!$A$2:$A$1000,"&lt;="&amp;A80),_xlfn.MINIFS(Weight!$A$2:$A$1000,Weight!$A$2:$A$1000,"&gt;0")),Weight!$A$2:$A$1000,0)),Settings!$B$6))</f>
        <v/>
      </c>
      <c r="I80" s="21">
        <f>IF(B80="","",IFERROR(INDEX(Settings!$B$10:$B$21,MATCH(B80,Settings!$A$10:$A$21,0)),4))</f>
        <v/>
      </c>
      <c r="J80" s="22">
        <f>IF(OR(A80="",C80="",I80=""),"",I80*H80*C80/60)</f>
        <v/>
      </c>
    </row>
    <row r="81">
      <c r="A81" s="35" t="n"/>
      <c r="B81" s="33" t="n"/>
      <c r="C81" s="31" t="n"/>
      <c r="D81" s="30" t="n"/>
      <c r="E81" s="33" t="n"/>
      <c r="F81" s="20">
        <f>IF(A81="","",WEEKNUM(A81,21))</f>
        <v/>
      </c>
      <c r="G81" s="21">
        <f>IF(OR(C81="",N(D81)=0),"",C81/D81)</f>
        <v/>
      </c>
      <c r="H81" s="21">
        <f>IF(A81="","",IFERROR(INDEX(Weight!$B$2:$B$1000,MATCH(IF(_xlfn.MAXIFS(Weight!$A$2:$A$1000,Weight!$A$2:$A$1000,"&lt;="&amp;A81)&gt;0,_xlfn.MAXIFS(Weight!$A$2:$A$1000,Weight!$A$2:$A$1000,"&lt;="&amp;A81),_xlfn.MINIFS(Weight!$A$2:$A$1000,Weight!$A$2:$A$1000,"&gt;0")),Weight!$A$2:$A$1000,0)),Settings!$B$6))</f>
        <v/>
      </c>
      <c r="I81" s="21">
        <f>IF(B81="","",IFERROR(INDEX(Settings!$B$10:$B$21,MATCH(B81,Settings!$A$10:$A$21,0)),4))</f>
        <v/>
      </c>
      <c r="J81" s="22">
        <f>IF(OR(A81="",C81="",I81=""),"",I81*H81*C81/60)</f>
        <v/>
      </c>
    </row>
    <row r="82">
      <c r="A82" s="35" t="n"/>
      <c r="B82" s="33" t="n"/>
      <c r="C82" s="31" t="n"/>
      <c r="D82" s="30" t="n"/>
      <c r="E82" s="33" t="n"/>
      <c r="F82" s="20">
        <f>IF(A82="","",WEEKNUM(A82,21))</f>
        <v/>
      </c>
      <c r="G82" s="21">
        <f>IF(OR(C82="",N(D82)=0),"",C82/D82)</f>
        <v/>
      </c>
      <c r="H82" s="21">
        <f>IF(A82="","",IFERROR(INDEX(Weight!$B$2:$B$1000,MATCH(IF(_xlfn.MAXIFS(Weight!$A$2:$A$1000,Weight!$A$2:$A$1000,"&lt;="&amp;A82)&gt;0,_xlfn.MAXIFS(Weight!$A$2:$A$1000,Weight!$A$2:$A$1000,"&lt;="&amp;A82),_xlfn.MINIFS(Weight!$A$2:$A$1000,Weight!$A$2:$A$1000,"&gt;0")),Weight!$A$2:$A$1000,0)),Settings!$B$6))</f>
        <v/>
      </c>
      <c r="I82" s="21">
        <f>IF(B82="","",IFERROR(INDEX(Settings!$B$10:$B$21,MATCH(B82,Settings!$A$10:$A$21,0)),4))</f>
        <v/>
      </c>
      <c r="J82" s="22">
        <f>IF(OR(A82="",C82="",I82=""),"",I82*H82*C82/60)</f>
        <v/>
      </c>
    </row>
    <row r="83">
      <c r="A83" s="35" t="n"/>
      <c r="B83" s="33" t="n"/>
      <c r="C83" s="31" t="n"/>
      <c r="D83" s="30" t="n"/>
      <c r="E83" s="33" t="n"/>
      <c r="F83" s="20">
        <f>IF(A83="","",WEEKNUM(A83,21))</f>
        <v/>
      </c>
      <c r="G83" s="21">
        <f>IF(OR(C83="",N(D83)=0),"",C83/D83)</f>
        <v/>
      </c>
      <c r="H83" s="21">
        <f>IF(A83="","",IFERROR(INDEX(Weight!$B$2:$B$1000,MATCH(IF(_xlfn.MAXIFS(Weight!$A$2:$A$1000,Weight!$A$2:$A$1000,"&lt;="&amp;A83)&gt;0,_xlfn.MAXIFS(Weight!$A$2:$A$1000,Weight!$A$2:$A$1000,"&lt;="&amp;A83),_xlfn.MINIFS(Weight!$A$2:$A$1000,Weight!$A$2:$A$1000,"&gt;0")),Weight!$A$2:$A$1000,0)),Settings!$B$6))</f>
        <v/>
      </c>
      <c r="I83" s="21">
        <f>IF(B83="","",IFERROR(INDEX(Settings!$B$10:$B$21,MATCH(B83,Settings!$A$10:$A$21,0)),4))</f>
        <v/>
      </c>
      <c r="J83" s="22">
        <f>IF(OR(A83="",C83="",I83=""),"",I83*H83*C83/60)</f>
        <v/>
      </c>
    </row>
    <row r="84">
      <c r="A84" s="35" t="n"/>
      <c r="B84" s="33" t="n"/>
      <c r="C84" s="31" t="n"/>
      <c r="D84" s="30" t="n"/>
      <c r="E84" s="33" t="n"/>
      <c r="F84" s="20">
        <f>IF(A84="","",WEEKNUM(A84,21))</f>
        <v/>
      </c>
      <c r="G84" s="21">
        <f>IF(OR(C84="",N(D84)=0),"",C84/D84)</f>
        <v/>
      </c>
      <c r="H84" s="21">
        <f>IF(A84="","",IFERROR(INDEX(Weight!$B$2:$B$1000,MATCH(IF(_xlfn.MAXIFS(Weight!$A$2:$A$1000,Weight!$A$2:$A$1000,"&lt;="&amp;A84)&gt;0,_xlfn.MAXIFS(Weight!$A$2:$A$1000,Weight!$A$2:$A$1000,"&lt;="&amp;A84),_xlfn.MINIFS(Weight!$A$2:$A$1000,Weight!$A$2:$A$1000,"&gt;0")),Weight!$A$2:$A$1000,0)),Settings!$B$6))</f>
        <v/>
      </c>
      <c r="I84" s="21">
        <f>IF(B84="","",IFERROR(INDEX(Settings!$B$10:$B$21,MATCH(B84,Settings!$A$10:$A$21,0)),4))</f>
        <v/>
      </c>
      <c r="J84" s="22">
        <f>IF(OR(A84="",C84="",I84=""),"",I84*H84*C84/60)</f>
        <v/>
      </c>
    </row>
    <row r="85">
      <c r="A85" s="35" t="n"/>
      <c r="B85" s="33" t="n"/>
      <c r="C85" s="31" t="n"/>
      <c r="D85" s="30" t="n"/>
      <c r="E85" s="33" t="n"/>
      <c r="F85" s="20">
        <f>IF(A85="","",WEEKNUM(A85,21))</f>
        <v/>
      </c>
      <c r="G85" s="21">
        <f>IF(OR(C85="",N(D85)=0),"",C85/D85)</f>
        <v/>
      </c>
      <c r="H85" s="21">
        <f>IF(A85="","",IFERROR(INDEX(Weight!$B$2:$B$1000,MATCH(IF(_xlfn.MAXIFS(Weight!$A$2:$A$1000,Weight!$A$2:$A$1000,"&lt;="&amp;A85)&gt;0,_xlfn.MAXIFS(Weight!$A$2:$A$1000,Weight!$A$2:$A$1000,"&lt;="&amp;A85),_xlfn.MINIFS(Weight!$A$2:$A$1000,Weight!$A$2:$A$1000,"&gt;0")),Weight!$A$2:$A$1000,0)),Settings!$B$6))</f>
        <v/>
      </c>
      <c r="I85" s="21">
        <f>IF(B85="","",IFERROR(INDEX(Settings!$B$10:$B$21,MATCH(B85,Settings!$A$10:$A$21,0)),4))</f>
        <v/>
      </c>
      <c r="J85" s="22">
        <f>IF(OR(A85="",C85="",I85=""),"",I85*H85*C85/60)</f>
        <v/>
      </c>
    </row>
    <row r="86">
      <c r="A86" s="35" t="n"/>
      <c r="B86" s="33" t="n"/>
      <c r="C86" s="31" t="n"/>
      <c r="D86" s="30" t="n"/>
      <c r="E86" s="33" t="n"/>
      <c r="F86" s="20">
        <f>IF(A86="","",WEEKNUM(A86,21))</f>
        <v/>
      </c>
      <c r="G86" s="21">
        <f>IF(OR(C86="",N(D86)=0),"",C86/D86)</f>
        <v/>
      </c>
      <c r="H86" s="21">
        <f>IF(A86="","",IFERROR(INDEX(Weight!$B$2:$B$1000,MATCH(IF(_xlfn.MAXIFS(Weight!$A$2:$A$1000,Weight!$A$2:$A$1000,"&lt;="&amp;A86)&gt;0,_xlfn.MAXIFS(Weight!$A$2:$A$1000,Weight!$A$2:$A$1000,"&lt;="&amp;A86),_xlfn.MINIFS(Weight!$A$2:$A$1000,Weight!$A$2:$A$1000,"&gt;0")),Weight!$A$2:$A$1000,0)),Settings!$B$6))</f>
        <v/>
      </c>
      <c r="I86" s="21">
        <f>IF(B86="","",IFERROR(INDEX(Settings!$B$10:$B$21,MATCH(B86,Settings!$A$10:$A$21,0)),4))</f>
        <v/>
      </c>
      <c r="J86" s="22">
        <f>IF(OR(A86="",C86="",I86=""),"",I86*H86*C86/60)</f>
        <v/>
      </c>
    </row>
    <row r="87">
      <c r="A87" s="35" t="n"/>
      <c r="B87" s="33" t="n"/>
      <c r="C87" s="31" t="n"/>
      <c r="D87" s="30" t="n"/>
      <c r="E87" s="33" t="n"/>
      <c r="F87" s="20">
        <f>IF(A87="","",WEEKNUM(A87,21))</f>
        <v/>
      </c>
      <c r="G87" s="21">
        <f>IF(OR(C87="",N(D87)=0),"",C87/D87)</f>
        <v/>
      </c>
      <c r="H87" s="21">
        <f>IF(A87="","",IFERROR(INDEX(Weight!$B$2:$B$1000,MATCH(IF(_xlfn.MAXIFS(Weight!$A$2:$A$1000,Weight!$A$2:$A$1000,"&lt;="&amp;A87)&gt;0,_xlfn.MAXIFS(Weight!$A$2:$A$1000,Weight!$A$2:$A$1000,"&lt;="&amp;A87),_xlfn.MINIFS(Weight!$A$2:$A$1000,Weight!$A$2:$A$1000,"&gt;0")),Weight!$A$2:$A$1000,0)),Settings!$B$6))</f>
        <v/>
      </c>
      <c r="I87" s="21">
        <f>IF(B87="","",IFERROR(INDEX(Settings!$B$10:$B$21,MATCH(B87,Settings!$A$10:$A$21,0)),4))</f>
        <v/>
      </c>
      <c r="J87" s="22">
        <f>IF(OR(A87="",C87="",I87=""),"",I87*H87*C87/60)</f>
        <v/>
      </c>
    </row>
    <row r="88">
      <c r="A88" s="35" t="n"/>
      <c r="B88" s="33" t="n"/>
      <c r="C88" s="31" t="n"/>
      <c r="D88" s="30" t="n"/>
      <c r="E88" s="33" t="n"/>
      <c r="F88" s="20">
        <f>IF(A88="","",WEEKNUM(A88,21))</f>
        <v/>
      </c>
      <c r="G88" s="21">
        <f>IF(OR(C88="",N(D88)=0),"",C88/D88)</f>
        <v/>
      </c>
      <c r="H88" s="21">
        <f>IF(A88="","",IFERROR(INDEX(Weight!$B$2:$B$1000,MATCH(IF(_xlfn.MAXIFS(Weight!$A$2:$A$1000,Weight!$A$2:$A$1000,"&lt;="&amp;A88)&gt;0,_xlfn.MAXIFS(Weight!$A$2:$A$1000,Weight!$A$2:$A$1000,"&lt;="&amp;A88),_xlfn.MINIFS(Weight!$A$2:$A$1000,Weight!$A$2:$A$1000,"&gt;0")),Weight!$A$2:$A$1000,0)),Settings!$B$6))</f>
        <v/>
      </c>
      <c r="I88" s="21">
        <f>IF(B88="","",IFERROR(INDEX(Settings!$B$10:$B$21,MATCH(B88,Settings!$A$10:$A$21,0)),4))</f>
        <v/>
      </c>
      <c r="J88" s="22">
        <f>IF(OR(A88="",C88="",I88=""),"",I88*H88*C88/60)</f>
        <v/>
      </c>
    </row>
    <row r="89">
      <c r="A89" s="35" t="n"/>
      <c r="B89" s="33" t="n"/>
      <c r="C89" s="31" t="n"/>
      <c r="D89" s="30" t="n"/>
      <c r="E89" s="33" t="n"/>
      <c r="F89" s="20">
        <f>IF(A89="","",WEEKNUM(A89,21))</f>
        <v/>
      </c>
      <c r="G89" s="21">
        <f>IF(OR(C89="",N(D89)=0),"",C89/D89)</f>
        <v/>
      </c>
      <c r="H89" s="21">
        <f>IF(A89="","",IFERROR(INDEX(Weight!$B$2:$B$1000,MATCH(IF(_xlfn.MAXIFS(Weight!$A$2:$A$1000,Weight!$A$2:$A$1000,"&lt;="&amp;A89)&gt;0,_xlfn.MAXIFS(Weight!$A$2:$A$1000,Weight!$A$2:$A$1000,"&lt;="&amp;A89),_xlfn.MINIFS(Weight!$A$2:$A$1000,Weight!$A$2:$A$1000,"&gt;0")),Weight!$A$2:$A$1000,0)),Settings!$B$6))</f>
        <v/>
      </c>
      <c r="I89" s="21">
        <f>IF(B89="","",IFERROR(INDEX(Settings!$B$10:$B$21,MATCH(B89,Settings!$A$10:$A$21,0)),4))</f>
        <v/>
      </c>
      <c r="J89" s="22">
        <f>IF(OR(A89="",C89="",I89=""),"",I89*H89*C89/60)</f>
        <v/>
      </c>
    </row>
    <row r="90">
      <c r="A90" s="35" t="n"/>
      <c r="B90" s="33" t="n"/>
      <c r="C90" s="31" t="n"/>
      <c r="D90" s="30" t="n"/>
      <c r="E90" s="33" t="n"/>
      <c r="F90" s="20">
        <f>IF(A90="","",WEEKNUM(A90,21))</f>
        <v/>
      </c>
      <c r="G90" s="21">
        <f>IF(OR(C90="",N(D90)=0),"",C90/D90)</f>
        <v/>
      </c>
      <c r="H90" s="21">
        <f>IF(A90="","",IFERROR(INDEX(Weight!$B$2:$B$1000,MATCH(IF(_xlfn.MAXIFS(Weight!$A$2:$A$1000,Weight!$A$2:$A$1000,"&lt;="&amp;A90)&gt;0,_xlfn.MAXIFS(Weight!$A$2:$A$1000,Weight!$A$2:$A$1000,"&lt;="&amp;A90),_xlfn.MINIFS(Weight!$A$2:$A$1000,Weight!$A$2:$A$1000,"&gt;0")),Weight!$A$2:$A$1000,0)),Settings!$B$6))</f>
        <v/>
      </c>
      <c r="I90" s="21">
        <f>IF(B90="","",IFERROR(INDEX(Settings!$B$10:$B$21,MATCH(B90,Settings!$A$10:$A$21,0)),4))</f>
        <v/>
      </c>
      <c r="J90" s="22">
        <f>IF(OR(A90="",C90="",I90=""),"",I90*H90*C90/60)</f>
        <v/>
      </c>
    </row>
    <row r="91">
      <c r="A91" s="35" t="n"/>
      <c r="B91" s="33" t="n"/>
      <c r="C91" s="31" t="n"/>
      <c r="D91" s="30" t="n"/>
      <c r="E91" s="33" t="n"/>
      <c r="F91" s="20">
        <f>IF(A91="","",WEEKNUM(A91,21))</f>
        <v/>
      </c>
      <c r="G91" s="21">
        <f>IF(OR(C91="",N(D91)=0),"",C91/D91)</f>
        <v/>
      </c>
      <c r="H91" s="21">
        <f>IF(A91="","",IFERROR(INDEX(Weight!$B$2:$B$1000,MATCH(IF(_xlfn.MAXIFS(Weight!$A$2:$A$1000,Weight!$A$2:$A$1000,"&lt;="&amp;A91)&gt;0,_xlfn.MAXIFS(Weight!$A$2:$A$1000,Weight!$A$2:$A$1000,"&lt;="&amp;A91),_xlfn.MINIFS(Weight!$A$2:$A$1000,Weight!$A$2:$A$1000,"&gt;0")),Weight!$A$2:$A$1000,0)),Settings!$B$6))</f>
        <v/>
      </c>
      <c r="I91" s="21">
        <f>IF(B91="","",IFERROR(INDEX(Settings!$B$10:$B$21,MATCH(B91,Settings!$A$10:$A$21,0)),4))</f>
        <v/>
      </c>
      <c r="J91" s="22">
        <f>IF(OR(A91="",C91="",I91=""),"",I91*H91*C91/60)</f>
        <v/>
      </c>
    </row>
    <row r="92">
      <c r="A92" s="35" t="n"/>
      <c r="B92" s="33" t="n"/>
      <c r="C92" s="31" t="n"/>
      <c r="D92" s="30" t="n"/>
      <c r="E92" s="33" t="n"/>
      <c r="F92" s="20">
        <f>IF(A92="","",WEEKNUM(A92,21))</f>
        <v/>
      </c>
      <c r="G92" s="21">
        <f>IF(OR(C92="",N(D92)=0),"",C92/D92)</f>
        <v/>
      </c>
      <c r="H92" s="21">
        <f>IF(A92="","",IFERROR(INDEX(Weight!$B$2:$B$1000,MATCH(IF(_xlfn.MAXIFS(Weight!$A$2:$A$1000,Weight!$A$2:$A$1000,"&lt;="&amp;A92)&gt;0,_xlfn.MAXIFS(Weight!$A$2:$A$1000,Weight!$A$2:$A$1000,"&lt;="&amp;A92),_xlfn.MINIFS(Weight!$A$2:$A$1000,Weight!$A$2:$A$1000,"&gt;0")),Weight!$A$2:$A$1000,0)),Settings!$B$6))</f>
        <v/>
      </c>
      <c r="I92" s="21">
        <f>IF(B92="","",IFERROR(INDEX(Settings!$B$10:$B$21,MATCH(B92,Settings!$A$10:$A$21,0)),4))</f>
        <v/>
      </c>
      <c r="J92" s="22">
        <f>IF(OR(A92="",C92="",I92=""),"",I92*H92*C92/60)</f>
        <v/>
      </c>
    </row>
    <row r="93">
      <c r="A93" s="35" t="n"/>
      <c r="B93" s="33" t="n"/>
      <c r="C93" s="31" t="n"/>
      <c r="D93" s="30" t="n"/>
      <c r="E93" s="33" t="n"/>
      <c r="F93" s="20">
        <f>IF(A93="","",WEEKNUM(A93,21))</f>
        <v/>
      </c>
      <c r="G93" s="21">
        <f>IF(OR(C93="",N(D93)=0),"",C93/D93)</f>
        <v/>
      </c>
      <c r="H93" s="21">
        <f>IF(A93="","",IFERROR(INDEX(Weight!$B$2:$B$1000,MATCH(IF(_xlfn.MAXIFS(Weight!$A$2:$A$1000,Weight!$A$2:$A$1000,"&lt;="&amp;A93)&gt;0,_xlfn.MAXIFS(Weight!$A$2:$A$1000,Weight!$A$2:$A$1000,"&lt;="&amp;A93),_xlfn.MINIFS(Weight!$A$2:$A$1000,Weight!$A$2:$A$1000,"&gt;0")),Weight!$A$2:$A$1000,0)),Settings!$B$6))</f>
        <v/>
      </c>
      <c r="I93" s="21">
        <f>IF(B93="","",IFERROR(INDEX(Settings!$B$10:$B$21,MATCH(B93,Settings!$A$10:$A$21,0)),4))</f>
        <v/>
      </c>
      <c r="J93" s="22">
        <f>IF(OR(A93="",C93="",I93=""),"",I93*H93*C93/60)</f>
        <v/>
      </c>
    </row>
    <row r="94">
      <c r="A94" s="35" t="n"/>
      <c r="B94" s="33" t="n"/>
      <c r="C94" s="31" t="n"/>
      <c r="D94" s="30" t="n"/>
      <c r="E94" s="33" t="n"/>
      <c r="F94" s="20">
        <f>IF(A94="","",WEEKNUM(A94,21))</f>
        <v/>
      </c>
      <c r="G94" s="21">
        <f>IF(OR(C94="",N(D94)=0),"",C94/D94)</f>
        <v/>
      </c>
      <c r="H94" s="21">
        <f>IF(A94="","",IFERROR(INDEX(Weight!$B$2:$B$1000,MATCH(IF(_xlfn.MAXIFS(Weight!$A$2:$A$1000,Weight!$A$2:$A$1000,"&lt;="&amp;A94)&gt;0,_xlfn.MAXIFS(Weight!$A$2:$A$1000,Weight!$A$2:$A$1000,"&lt;="&amp;A94),_xlfn.MINIFS(Weight!$A$2:$A$1000,Weight!$A$2:$A$1000,"&gt;0")),Weight!$A$2:$A$1000,0)),Settings!$B$6))</f>
        <v/>
      </c>
      <c r="I94" s="21">
        <f>IF(B94="","",IFERROR(INDEX(Settings!$B$10:$B$21,MATCH(B94,Settings!$A$10:$A$21,0)),4))</f>
        <v/>
      </c>
      <c r="J94" s="22">
        <f>IF(OR(A94="",C94="",I94=""),"",I94*H94*C94/60)</f>
        <v/>
      </c>
    </row>
    <row r="95">
      <c r="A95" s="35" t="n"/>
      <c r="B95" s="33" t="n"/>
      <c r="C95" s="31" t="n"/>
      <c r="D95" s="30" t="n"/>
      <c r="E95" s="33" t="n"/>
      <c r="F95" s="20">
        <f>IF(A95="","",WEEKNUM(A95,21))</f>
        <v/>
      </c>
      <c r="G95" s="21">
        <f>IF(OR(C95="",N(D95)=0),"",C95/D95)</f>
        <v/>
      </c>
      <c r="H95" s="21">
        <f>IF(A95="","",IFERROR(INDEX(Weight!$B$2:$B$1000,MATCH(IF(_xlfn.MAXIFS(Weight!$A$2:$A$1000,Weight!$A$2:$A$1000,"&lt;="&amp;A95)&gt;0,_xlfn.MAXIFS(Weight!$A$2:$A$1000,Weight!$A$2:$A$1000,"&lt;="&amp;A95),_xlfn.MINIFS(Weight!$A$2:$A$1000,Weight!$A$2:$A$1000,"&gt;0")),Weight!$A$2:$A$1000,0)),Settings!$B$6))</f>
        <v/>
      </c>
      <c r="I95" s="21">
        <f>IF(B95="","",IFERROR(INDEX(Settings!$B$10:$B$21,MATCH(B95,Settings!$A$10:$A$21,0)),4))</f>
        <v/>
      </c>
      <c r="J95" s="22">
        <f>IF(OR(A95="",C95="",I95=""),"",I95*H95*C95/60)</f>
        <v/>
      </c>
    </row>
    <row r="96">
      <c r="A96" s="35" t="n"/>
      <c r="B96" s="33" t="n"/>
      <c r="C96" s="31" t="n"/>
      <c r="D96" s="30" t="n"/>
      <c r="E96" s="33" t="n"/>
      <c r="F96" s="20">
        <f>IF(A96="","",WEEKNUM(A96,21))</f>
        <v/>
      </c>
      <c r="G96" s="21">
        <f>IF(OR(C96="",N(D96)=0),"",C96/D96)</f>
        <v/>
      </c>
      <c r="H96" s="21">
        <f>IF(A96="","",IFERROR(INDEX(Weight!$B$2:$B$1000,MATCH(IF(_xlfn.MAXIFS(Weight!$A$2:$A$1000,Weight!$A$2:$A$1000,"&lt;="&amp;A96)&gt;0,_xlfn.MAXIFS(Weight!$A$2:$A$1000,Weight!$A$2:$A$1000,"&lt;="&amp;A96),_xlfn.MINIFS(Weight!$A$2:$A$1000,Weight!$A$2:$A$1000,"&gt;0")),Weight!$A$2:$A$1000,0)),Settings!$B$6))</f>
        <v/>
      </c>
      <c r="I96" s="21">
        <f>IF(B96="","",IFERROR(INDEX(Settings!$B$10:$B$21,MATCH(B96,Settings!$A$10:$A$21,0)),4))</f>
        <v/>
      </c>
      <c r="J96" s="22">
        <f>IF(OR(A96="",C96="",I96=""),"",I96*H96*C96/60)</f>
        <v/>
      </c>
    </row>
    <row r="97">
      <c r="A97" s="35" t="n"/>
      <c r="B97" s="33" t="n"/>
      <c r="C97" s="31" t="n"/>
      <c r="D97" s="30" t="n"/>
      <c r="E97" s="33" t="n"/>
      <c r="F97" s="20">
        <f>IF(A97="","",WEEKNUM(A97,21))</f>
        <v/>
      </c>
      <c r="G97" s="21">
        <f>IF(OR(C97="",N(D97)=0),"",C97/D97)</f>
        <v/>
      </c>
      <c r="H97" s="21">
        <f>IF(A97="","",IFERROR(INDEX(Weight!$B$2:$B$1000,MATCH(IF(_xlfn.MAXIFS(Weight!$A$2:$A$1000,Weight!$A$2:$A$1000,"&lt;="&amp;A97)&gt;0,_xlfn.MAXIFS(Weight!$A$2:$A$1000,Weight!$A$2:$A$1000,"&lt;="&amp;A97),_xlfn.MINIFS(Weight!$A$2:$A$1000,Weight!$A$2:$A$1000,"&gt;0")),Weight!$A$2:$A$1000,0)),Settings!$B$6))</f>
        <v/>
      </c>
      <c r="I97" s="21">
        <f>IF(B97="","",IFERROR(INDEX(Settings!$B$10:$B$21,MATCH(B97,Settings!$A$10:$A$21,0)),4))</f>
        <v/>
      </c>
      <c r="J97" s="22">
        <f>IF(OR(A97="",C97="",I97=""),"",I97*H97*C97/60)</f>
        <v/>
      </c>
    </row>
    <row r="98">
      <c r="A98" s="35" t="n"/>
      <c r="B98" s="33" t="n"/>
      <c r="C98" s="31" t="n"/>
      <c r="D98" s="30" t="n"/>
      <c r="E98" s="33" t="n"/>
      <c r="F98" s="20">
        <f>IF(A98="","",WEEKNUM(A98,21))</f>
        <v/>
      </c>
      <c r="G98" s="21">
        <f>IF(OR(C98="",N(D98)=0),"",C98/D98)</f>
        <v/>
      </c>
      <c r="H98" s="21">
        <f>IF(A98="","",IFERROR(INDEX(Weight!$B$2:$B$1000,MATCH(IF(_xlfn.MAXIFS(Weight!$A$2:$A$1000,Weight!$A$2:$A$1000,"&lt;="&amp;A98)&gt;0,_xlfn.MAXIFS(Weight!$A$2:$A$1000,Weight!$A$2:$A$1000,"&lt;="&amp;A98),_xlfn.MINIFS(Weight!$A$2:$A$1000,Weight!$A$2:$A$1000,"&gt;0")),Weight!$A$2:$A$1000,0)),Settings!$B$6))</f>
        <v/>
      </c>
      <c r="I98" s="21">
        <f>IF(B98="","",IFERROR(INDEX(Settings!$B$10:$B$21,MATCH(B98,Settings!$A$10:$A$21,0)),4))</f>
        <v/>
      </c>
      <c r="J98" s="22">
        <f>IF(OR(A98="",C98="",I98=""),"",I98*H98*C98/60)</f>
        <v/>
      </c>
    </row>
    <row r="99">
      <c r="A99" s="35" t="n"/>
      <c r="B99" s="33" t="n"/>
      <c r="C99" s="31" t="n"/>
      <c r="D99" s="30" t="n"/>
      <c r="E99" s="33" t="n"/>
      <c r="F99" s="20">
        <f>IF(A99="","",WEEKNUM(A99,21))</f>
        <v/>
      </c>
      <c r="G99" s="21">
        <f>IF(OR(C99="",N(D99)=0),"",C99/D99)</f>
        <v/>
      </c>
      <c r="H99" s="21">
        <f>IF(A99="","",IFERROR(INDEX(Weight!$B$2:$B$1000,MATCH(IF(_xlfn.MAXIFS(Weight!$A$2:$A$1000,Weight!$A$2:$A$1000,"&lt;="&amp;A99)&gt;0,_xlfn.MAXIFS(Weight!$A$2:$A$1000,Weight!$A$2:$A$1000,"&lt;="&amp;A99),_xlfn.MINIFS(Weight!$A$2:$A$1000,Weight!$A$2:$A$1000,"&gt;0")),Weight!$A$2:$A$1000,0)),Settings!$B$6))</f>
        <v/>
      </c>
      <c r="I99" s="21">
        <f>IF(B99="","",IFERROR(INDEX(Settings!$B$10:$B$21,MATCH(B99,Settings!$A$10:$A$21,0)),4))</f>
        <v/>
      </c>
      <c r="J99" s="22">
        <f>IF(OR(A99="",C99="",I99=""),"",I99*H99*C99/60)</f>
        <v/>
      </c>
    </row>
    <row r="100">
      <c r="A100" s="35" t="n"/>
      <c r="B100" s="33" t="n"/>
      <c r="C100" s="31" t="n"/>
      <c r="D100" s="30" t="n"/>
      <c r="E100" s="33" t="n"/>
      <c r="F100" s="20">
        <f>IF(A100="","",WEEKNUM(A100,21))</f>
        <v/>
      </c>
      <c r="G100" s="21">
        <f>IF(OR(C100="",N(D100)=0),"",C100/D100)</f>
        <v/>
      </c>
      <c r="H100" s="21">
        <f>IF(A100="","",IFERROR(INDEX(Weight!$B$2:$B$1000,MATCH(IF(_xlfn.MAXIFS(Weight!$A$2:$A$1000,Weight!$A$2:$A$1000,"&lt;="&amp;A100)&gt;0,_xlfn.MAXIFS(Weight!$A$2:$A$1000,Weight!$A$2:$A$1000,"&lt;="&amp;A100),_xlfn.MINIFS(Weight!$A$2:$A$1000,Weight!$A$2:$A$1000,"&gt;0")),Weight!$A$2:$A$1000,0)),Settings!$B$6))</f>
        <v/>
      </c>
      <c r="I100" s="21">
        <f>IF(B100="","",IFERROR(INDEX(Settings!$B$10:$B$21,MATCH(B100,Settings!$A$10:$A$21,0)),4))</f>
        <v/>
      </c>
      <c r="J100" s="22">
        <f>IF(OR(A100="",C100="",I100=""),"",I100*H100*C100/60)</f>
        <v/>
      </c>
    </row>
    <row r="101">
      <c r="A101" s="35" t="n"/>
      <c r="B101" s="33" t="n"/>
      <c r="C101" s="31" t="n"/>
      <c r="D101" s="30" t="n"/>
      <c r="E101" s="33" t="n"/>
      <c r="F101" s="20">
        <f>IF(A101="","",WEEKNUM(A101,21))</f>
        <v/>
      </c>
      <c r="G101" s="21">
        <f>IF(OR(C101="",N(D101)=0),"",C101/D101)</f>
        <v/>
      </c>
      <c r="H101" s="21">
        <f>IF(A101="","",IFERROR(INDEX(Weight!$B$2:$B$1000,MATCH(IF(_xlfn.MAXIFS(Weight!$A$2:$A$1000,Weight!$A$2:$A$1000,"&lt;="&amp;A101)&gt;0,_xlfn.MAXIFS(Weight!$A$2:$A$1000,Weight!$A$2:$A$1000,"&lt;="&amp;A101),_xlfn.MINIFS(Weight!$A$2:$A$1000,Weight!$A$2:$A$1000,"&gt;0")),Weight!$A$2:$A$1000,0)),Settings!$B$6))</f>
        <v/>
      </c>
      <c r="I101" s="21">
        <f>IF(B101="","",IFERROR(INDEX(Settings!$B$10:$B$21,MATCH(B101,Settings!$A$10:$A$21,0)),4))</f>
        <v/>
      </c>
      <c r="J101" s="22">
        <f>IF(OR(A101="",C101="",I101=""),"",I101*H101*C101/60)</f>
        <v/>
      </c>
    </row>
    <row r="102">
      <c r="A102" s="35" t="n"/>
      <c r="B102" s="33" t="n"/>
      <c r="C102" s="31" t="n"/>
      <c r="D102" s="30" t="n"/>
      <c r="E102" s="33" t="n"/>
      <c r="F102" s="20">
        <f>IF(A102="","",WEEKNUM(A102,21))</f>
        <v/>
      </c>
      <c r="G102" s="21">
        <f>IF(OR(C102="",N(D102)=0),"",C102/D102)</f>
        <v/>
      </c>
      <c r="H102" s="21">
        <f>IF(A102="","",IFERROR(INDEX(Weight!$B$2:$B$1000,MATCH(IF(_xlfn.MAXIFS(Weight!$A$2:$A$1000,Weight!$A$2:$A$1000,"&lt;="&amp;A102)&gt;0,_xlfn.MAXIFS(Weight!$A$2:$A$1000,Weight!$A$2:$A$1000,"&lt;="&amp;A102),_xlfn.MINIFS(Weight!$A$2:$A$1000,Weight!$A$2:$A$1000,"&gt;0")),Weight!$A$2:$A$1000,0)),Settings!$B$6))</f>
        <v/>
      </c>
      <c r="I102" s="21">
        <f>IF(B102="","",IFERROR(INDEX(Settings!$B$10:$B$21,MATCH(B102,Settings!$A$10:$A$21,0)),4))</f>
        <v/>
      </c>
      <c r="J102" s="22">
        <f>IF(OR(A102="",C102="",I102=""),"",I102*H102*C102/60)</f>
        <v/>
      </c>
    </row>
    <row r="103">
      <c r="A103" s="35" t="n"/>
      <c r="B103" s="33" t="n"/>
      <c r="C103" s="31" t="n"/>
      <c r="D103" s="30" t="n"/>
      <c r="E103" s="33" t="n"/>
      <c r="F103" s="20">
        <f>IF(A103="","",WEEKNUM(A103,21))</f>
        <v/>
      </c>
      <c r="G103" s="21">
        <f>IF(OR(C103="",N(D103)=0),"",C103/D103)</f>
        <v/>
      </c>
      <c r="H103" s="21">
        <f>IF(A103="","",IFERROR(INDEX(Weight!$B$2:$B$1000,MATCH(IF(_xlfn.MAXIFS(Weight!$A$2:$A$1000,Weight!$A$2:$A$1000,"&lt;="&amp;A103)&gt;0,_xlfn.MAXIFS(Weight!$A$2:$A$1000,Weight!$A$2:$A$1000,"&lt;="&amp;A103),_xlfn.MINIFS(Weight!$A$2:$A$1000,Weight!$A$2:$A$1000,"&gt;0")),Weight!$A$2:$A$1000,0)),Settings!$B$6))</f>
        <v/>
      </c>
      <c r="I103" s="21">
        <f>IF(B103="","",IFERROR(INDEX(Settings!$B$10:$B$21,MATCH(B103,Settings!$A$10:$A$21,0)),4))</f>
        <v/>
      </c>
      <c r="J103" s="22">
        <f>IF(OR(A103="",C103="",I103=""),"",I103*H103*C103/60)</f>
        <v/>
      </c>
    </row>
    <row r="104">
      <c r="A104" s="35" t="n"/>
      <c r="B104" s="33" t="n"/>
      <c r="C104" s="31" t="n"/>
      <c r="D104" s="30" t="n"/>
      <c r="E104" s="33" t="n"/>
      <c r="F104" s="20">
        <f>IF(A104="","",WEEKNUM(A104,21))</f>
        <v/>
      </c>
      <c r="G104" s="21">
        <f>IF(OR(C104="",N(D104)=0),"",C104/D104)</f>
        <v/>
      </c>
      <c r="H104" s="21">
        <f>IF(A104="","",IFERROR(INDEX(Weight!$B$2:$B$1000,MATCH(IF(_xlfn.MAXIFS(Weight!$A$2:$A$1000,Weight!$A$2:$A$1000,"&lt;="&amp;A104)&gt;0,_xlfn.MAXIFS(Weight!$A$2:$A$1000,Weight!$A$2:$A$1000,"&lt;="&amp;A104),_xlfn.MINIFS(Weight!$A$2:$A$1000,Weight!$A$2:$A$1000,"&gt;0")),Weight!$A$2:$A$1000,0)),Settings!$B$6))</f>
        <v/>
      </c>
      <c r="I104" s="21">
        <f>IF(B104="","",IFERROR(INDEX(Settings!$B$10:$B$21,MATCH(B104,Settings!$A$10:$A$21,0)),4))</f>
        <v/>
      </c>
      <c r="J104" s="22">
        <f>IF(OR(A104="",C104="",I104=""),"",I104*H104*C104/60)</f>
        <v/>
      </c>
    </row>
    <row r="105">
      <c r="A105" s="35" t="n"/>
      <c r="B105" s="33" t="n"/>
      <c r="C105" s="31" t="n"/>
      <c r="D105" s="30" t="n"/>
      <c r="E105" s="33" t="n"/>
      <c r="F105" s="20">
        <f>IF(A105="","",WEEKNUM(A105,21))</f>
        <v/>
      </c>
      <c r="G105" s="21">
        <f>IF(OR(C105="",N(D105)=0),"",C105/D105)</f>
        <v/>
      </c>
      <c r="H105" s="21">
        <f>IF(A105="","",IFERROR(INDEX(Weight!$B$2:$B$1000,MATCH(IF(_xlfn.MAXIFS(Weight!$A$2:$A$1000,Weight!$A$2:$A$1000,"&lt;="&amp;A105)&gt;0,_xlfn.MAXIFS(Weight!$A$2:$A$1000,Weight!$A$2:$A$1000,"&lt;="&amp;A105),_xlfn.MINIFS(Weight!$A$2:$A$1000,Weight!$A$2:$A$1000,"&gt;0")),Weight!$A$2:$A$1000,0)),Settings!$B$6))</f>
        <v/>
      </c>
      <c r="I105" s="21">
        <f>IF(B105="","",IFERROR(INDEX(Settings!$B$10:$B$21,MATCH(B105,Settings!$A$10:$A$21,0)),4))</f>
        <v/>
      </c>
      <c r="J105" s="22">
        <f>IF(OR(A105="",C105="",I105=""),"",I105*H105*C105/60)</f>
        <v/>
      </c>
    </row>
    <row r="106">
      <c r="A106" s="35" t="n"/>
      <c r="B106" s="33" t="n"/>
      <c r="C106" s="31" t="n"/>
      <c r="D106" s="30" t="n"/>
      <c r="E106" s="33" t="n"/>
      <c r="F106" s="20">
        <f>IF(A106="","",WEEKNUM(A106,21))</f>
        <v/>
      </c>
      <c r="G106" s="21">
        <f>IF(OR(C106="",N(D106)=0),"",C106/D106)</f>
        <v/>
      </c>
      <c r="H106" s="21">
        <f>IF(A106="","",IFERROR(INDEX(Weight!$B$2:$B$1000,MATCH(IF(_xlfn.MAXIFS(Weight!$A$2:$A$1000,Weight!$A$2:$A$1000,"&lt;="&amp;A106)&gt;0,_xlfn.MAXIFS(Weight!$A$2:$A$1000,Weight!$A$2:$A$1000,"&lt;="&amp;A106),_xlfn.MINIFS(Weight!$A$2:$A$1000,Weight!$A$2:$A$1000,"&gt;0")),Weight!$A$2:$A$1000,0)),Settings!$B$6))</f>
        <v/>
      </c>
      <c r="I106" s="21">
        <f>IF(B106="","",IFERROR(INDEX(Settings!$B$10:$B$21,MATCH(B106,Settings!$A$10:$A$21,0)),4))</f>
        <v/>
      </c>
      <c r="J106" s="22">
        <f>IF(OR(A106="",C106="",I106=""),"",I106*H106*C106/60)</f>
        <v/>
      </c>
    </row>
    <row r="107">
      <c r="A107" s="35" t="n"/>
      <c r="B107" s="33" t="n"/>
      <c r="C107" s="31" t="n"/>
      <c r="D107" s="30" t="n"/>
      <c r="E107" s="33" t="n"/>
      <c r="F107" s="20">
        <f>IF(A107="","",WEEKNUM(A107,21))</f>
        <v/>
      </c>
      <c r="G107" s="21">
        <f>IF(OR(C107="",N(D107)=0),"",C107/D107)</f>
        <v/>
      </c>
      <c r="H107" s="21">
        <f>IF(A107="","",IFERROR(INDEX(Weight!$B$2:$B$1000,MATCH(IF(_xlfn.MAXIFS(Weight!$A$2:$A$1000,Weight!$A$2:$A$1000,"&lt;="&amp;A107)&gt;0,_xlfn.MAXIFS(Weight!$A$2:$A$1000,Weight!$A$2:$A$1000,"&lt;="&amp;A107),_xlfn.MINIFS(Weight!$A$2:$A$1000,Weight!$A$2:$A$1000,"&gt;0")),Weight!$A$2:$A$1000,0)),Settings!$B$6))</f>
        <v/>
      </c>
      <c r="I107" s="21">
        <f>IF(B107="","",IFERROR(INDEX(Settings!$B$10:$B$21,MATCH(B107,Settings!$A$10:$A$21,0)),4))</f>
        <v/>
      </c>
      <c r="J107" s="22">
        <f>IF(OR(A107="",C107="",I107=""),"",I107*H107*C107/60)</f>
        <v/>
      </c>
    </row>
    <row r="108">
      <c r="A108" s="35" t="n"/>
      <c r="B108" s="33" t="n"/>
      <c r="C108" s="31" t="n"/>
      <c r="D108" s="30" t="n"/>
      <c r="E108" s="33" t="n"/>
      <c r="F108" s="20">
        <f>IF(A108="","",WEEKNUM(A108,21))</f>
        <v/>
      </c>
      <c r="G108" s="21">
        <f>IF(OR(C108="",N(D108)=0),"",C108/D108)</f>
        <v/>
      </c>
      <c r="H108" s="21">
        <f>IF(A108="","",IFERROR(INDEX(Weight!$B$2:$B$1000,MATCH(IF(_xlfn.MAXIFS(Weight!$A$2:$A$1000,Weight!$A$2:$A$1000,"&lt;="&amp;A108)&gt;0,_xlfn.MAXIFS(Weight!$A$2:$A$1000,Weight!$A$2:$A$1000,"&lt;="&amp;A108),_xlfn.MINIFS(Weight!$A$2:$A$1000,Weight!$A$2:$A$1000,"&gt;0")),Weight!$A$2:$A$1000,0)),Settings!$B$6))</f>
        <v/>
      </c>
      <c r="I108" s="21">
        <f>IF(B108="","",IFERROR(INDEX(Settings!$B$10:$B$21,MATCH(B108,Settings!$A$10:$A$21,0)),4))</f>
        <v/>
      </c>
      <c r="J108" s="22">
        <f>IF(OR(A108="",C108="",I108=""),"",I108*H108*C108/60)</f>
        <v/>
      </c>
    </row>
    <row r="109">
      <c r="A109" s="35" t="n"/>
      <c r="B109" s="33" t="n"/>
      <c r="C109" s="31" t="n"/>
      <c r="D109" s="30" t="n"/>
      <c r="E109" s="33" t="n"/>
      <c r="F109" s="20">
        <f>IF(A109="","",WEEKNUM(A109,21))</f>
        <v/>
      </c>
      <c r="G109" s="21">
        <f>IF(OR(C109="",N(D109)=0),"",C109/D109)</f>
        <v/>
      </c>
      <c r="H109" s="21">
        <f>IF(A109="","",IFERROR(INDEX(Weight!$B$2:$B$1000,MATCH(IF(_xlfn.MAXIFS(Weight!$A$2:$A$1000,Weight!$A$2:$A$1000,"&lt;="&amp;A109)&gt;0,_xlfn.MAXIFS(Weight!$A$2:$A$1000,Weight!$A$2:$A$1000,"&lt;="&amp;A109),_xlfn.MINIFS(Weight!$A$2:$A$1000,Weight!$A$2:$A$1000,"&gt;0")),Weight!$A$2:$A$1000,0)),Settings!$B$6))</f>
        <v/>
      </c>
      <c r="I109" s="21">
        <f>IF(B109="","",IFERROR(INDEX(Settings!$B$10:$B$21,MATCH(B109,Settings!$A$10:$A$21,0)),4))</f>
        <v/>
      </c>
      <c r="J109" s="22">
        <f>IF(OR(A109="",C109="",I109=""),"",I109*H109*C109/60)</f>
        <v/>
      </c>
    </row>
    <row r="110">
      <c r="A110" s="35" t="n"/>
      <c r="B110" s="33" t="n"/>
      <c r="C110" s="31" t="n"/>
      <c r="D110" s="30" t="n"/>
      <c r="E110" s="33" t="n"/>
      <c r="F110" s="20">
        <f>IF(A110="","",WEEKNUM(A110,21))</f>
        <v/>
      </c>
      <c r="G110" s="21">
        <f>IF(OR(C110="",N(D110)=0),"",C110/D110)</f>
        <v/>
      </c>
      <c r="H110" s="21">
        <f>IF(A110="","",IFERROR(INDEX(Weight!$B$2:$B$1000,MATCH(IF(_xlfn.MAXIFS(Weight!$A$2:$A$1000,Weight!$A$2:$A$1000,"&lt;="&amp;A110)&gt;0,_xlfn.MAXIFS(Weight!$A$2:$A$1000,Weight!$A$2:$A$1000,"&lt;="&amp;A110),_xlfn.MINIFS(Weight!$A$2:$A$1000,Weight!$A$2:$A$1000,"&gt;0")),Weight!$A$2:$A$1000,0)),Settings!$B$6))</f>
        <v/>
      </c>
      <c r="I110" s="21">
        <f>IF(B110="","",IFERROR(INDEX(Settings!$B$10:$B$21,MATCH(B110,Settings!$A$10:$A$21,0)),4))</f>
        <v/>
      </c>
      <c r="J110" s="22">
        <f>IF(OR(A110="",C110="",I110=""),"",I110*H110*C110/60)</f>
        <v/>
      </c>
    </row>
    <row r="111">
      <c r="A111" s="35" t="n"/>
      <c r="B111" s="33" t="n"/>
      <c r="C111" s="31" t="n"/>
      <c r="D111" s="30" t="n"/>
      <c r="E111" s="33" t="n"/>
      <c r="F111" s="20">
        <f>IF(A111="","",WEEKNUM(A111,21))</f>
        <v/>
      </c>
      <c r="G111" s="21">
        <f>IF(OR(C111="",N(D111)=0),"",C111/D111)</f>
        <v/>
      </c>
      <c r="H111" s="21">
        <f>IF(A111="","",IFERROR(INDEX(Weight!$B$2:$B$1000,MATCH(IF(_xlfn.MAXIFS(Weight!$A$2:$A$1000,Weight!$A$2:$A$1000,"&lt;="&amp;A111)&gt;0,_xlfn.MAXIFS(Weight!$A$2:$A$1000,Weight!$A$2:$A$1000,"&lt;="&amp;A111),_xlfn.MINIFS(Weight!$A$2:$A$1000,Weight!$A$2:$A$1000,"&gt;0")),Weight!$A$2:$A$1000,0)),Settings!$B$6))</f>
        <v/>
      </c>
      <c r="I111" s="21">
        <f>IF(B111="","",IFERROR(INDEX(Settings!$B$10:$B$21,MATCH(B111,Settings!$A$10:$A$21,0)),4))</f>
        <v/>
      </c>
      <c r="J111" s="22">
        <f>IF(OR(A111="",C111="",I111=""),"",I111*H111*C111/60)</f>
        <v/>
      </c>
    </row>
    <row r="112">
      <c r="A112" s="35" t="n"/>
      <c r="B112" s="33" t="n"/>
      <c r="C112" s="31" t="n"/>
      <c r="D112" s="30" t="n"/>
      <c r="E112" s="33" t="n"/>
      <c r="F112" s="20">
        <f>IF(A112="","",WEEKNUM(A112,21))</f>
        <v/>
      </c>
      <c r="G112" s="21">
        <f>IF(OR(C112="",N(D112)=0),"",C112/D112)</f>
        <v/>
      </c>
      <c r="H112" s="21">
        <f>IF(A112="","",IFERROR(INDEX(Weight!$B$2:$B$1000,MATCH(IF(_xlfn.MAXIFS(Weight!$A$2:$A$1000,Weight!$A$2:$A$1000,"&lt;="&amp;A112)&gt;0,_xlfn.MAXIFS(Weight!$A$2:$A$1000,Weight!$A$2:$A$1000,"&lt;="&amp;A112),_xlfn.MINIFS(Weight!$A$2:$A$1000,Weight!$A$2:$A$1000,"&gt;0")),Weight!$A$2:$A$1000,0)),Settings!$B$6))</f>
        <v/>
      </c>
      <c r="I112" s="21">
        <f>IF(B112="","",IFERROR(INDEX(Settings!$B$10:$B$21,MATCH(B112,Settings!$A$10:$A$21,0)),4))</f>
        <v/>
      </c>
      <c r="J112" s="22">
        <f>IF(OR(A112="",C112="",I112=""),"",I112*H112*C112/60)</f>
        <v/>
      </c>
    </row>
    <row r="113">
      <c r="A113" s="35" t="n"/>
      <c r="B113" s="33" t="n"/>
      <c r="C113" s="31" t="n"/>
      <c r="D113" s="30" t="n"/>
      <c r="E113" s="33" t="n"/>
      <c r="F113" s="20">
        <f>IF(A113="","",WEEKNUM(A113,21))</f>
        <v/>
      </c>
      <c r="G113" s="21">
        <f>IF(OR(C113="",N(D113)=0),"",C113/D113)</f>
        <v/>
      </c>
      <c r="H113" s="21">
        <f>IF(A113="","",IFERROR(INDEX(Weight!$B$2:$B$1000,MATCH(IF(_xlfn.MAXIFS(Weight!$A$2:$A$1000,Weight!$A$2:$A$1000,"&lt;="&amp;A113)&gt;0,_xlfn.MAXIFS(Weight!$A$2:$A$1000,Weight!$A$2:$A$1000,"&lt;="&amp;A113),_xlfn.MINIFS(Weight!$A$2:$A$1000,Weight!$A$2:$A$1000,"&gt;0")),Weight!$A$2:$A$1000,0)),Settings!$B$6))</f>
        <v/>
      </c>
      <c r="I113" s="21">
        <f>IF(B113="","",IFERROR(INDEX(Settings!$B$10:$B$21,MATCH(B113,Settings!$A$10:$A$21,0)),4))</f>
        <v/>
      </c>
      <c r="J113" s="22">
        <f>IF(OR(A113="",C113="",I113=""),"",I113*H113*C113/60)</f>
        <v/>
      </c>
    </row>
    <row r="114">
      <c r="A114" s="35" t="n"/>
      <c r="B114" s="33" t="n"/>
      <c r="C114" s="31" t="n"/>
      <c r="D114" s="30" t="n"/>
      <c r="E114" s="33" t="n"/>
      <c r="F114" s="20">
        <f>IF(A114="","",WEEKNUM(A114,21))</f>
        <v/>
      </c>
      <c r="G114" s="21">
        <f>IF(OR(C114="",N(D114)=0),"",C114/D114)</f>
        <v/>
      </c>
      <c r="H114" s="21">
        <f>IF(A114="","",IFERROR(INDEX(Weight!$B$2:$B$1000,MATCH(IF(_xlfn.MAXIFS(Weight!$A$2:$A$1000,Weight!$A$2:$A$1000,"&lt;="&amp;A114)&gt;0,_xlfn.MAXIFS(Weight!$A$2:$A$1000,Weight!$A$2:$A$1000,"&lt;="&amp;A114),_xlfn.MINIFS(Weight!$A$2:$A$1000,Weight!$A$2:$A$1000,"&gt;0")),Weight!$A$2:$A$1000,0)),Settings!$B$6))</f>
        <v/>
      </c>
      <c r="I114" s="21">
        <f>IF(B114="","",IFERROR(INDEX(Settings!$B$10:$B$21,MATCH(B114,Settings!$A$10:$A$21,0)),4))</f>
        <v/>
      </c>
      <c r="J114" s="22">
        <f>IF(OR(A114="",C114="",I114=""),"",I114*H114*C114/60)</f>
        <v/>
      </c>
    </row>
    <row r="115">
      <c r="A115" s="35" t="n"/>
      <c r="B115" s="33" t="n"/>
      <c r="C115" s="31" t="n"/>
      <c r="D115" s="30" t="n"/>
      <c r="E115" s="33" t="n"/>
      <c r="F115" s="20">
        <f>IF(A115="","",WEEKNUM(A115,21))</f>
        <v/>
      </c>
      <c r="G115" s="21">
        <f>IF(OR(C115="",N(D115)=0),"",C115/D115)</f>
        <v/>
      </c>
      <c r="H115" s="21">
        <f>IF(A115="","",IFERROR(INDEX(Weight!$B$2:$B$1000,MATCH(IF(_xlfn.MAXIFS(Weight!$A$2:$A$1000,Weight!$A$2:$A$1000,"&lt;="&amp;A115)&gt;0,_xlfn.MAXIFS(Weight!$A$2:$A$1000,Weight!$A$2:$A$1000,"&lt;="&amp;A115),_xlfn.MINIFS(Weight!$A$2:$A$1000,Weight!$A$2:$A$1000,"&gt;0")),Weight!$A$2:$A$1000,0)),Settings!$B$6))</f>
        <v/>
      </c>
      <c r="I115" s="21">
        <f>IF(B115="","",IFERROR(INDEX(Settings!$B$10:$B$21,MATCH(B115,Settings!$A$10:$A$21,0)),4))</f>
        <v/>
      </c>
      <c r="J115" s="22">
        <f>IF(OR(A115="",C115="",I115=""),"",I115*H115*C115/60)</f>
        <v/>
      </c>
    </row>
    <row r="116">
      <c r="A116" s="35" t="n"/>
      <c r="B116" s="33" t="n"/>
      <c r="C116" s="31" t="n"/>
      <c r="D116" s="30" t="n"/>
      <c r="E116" s="33" t="n"/>
      <c r="F116" s="20">
        <f>IF(A116="","",WEEKNUM(A116,21))</f>
        <v/>
      </c>
      <c r="G116" s="21">
        <f>IF(OR(C116="",N(D116)=0),"",C116/D116)</f>
        <v/>
      </c>
      <c r="H116" s="21">
        <f>IF(A116="","",IFERROR(INDEX(Weight!$B$2:$B$1000,MATCH(IF(_xlfn.MAXIFS(Weight!$A$2:$A$1000,Weight!$A$2:$A$1000,"&lt;="&amp;A116)&gt;0,_xlfn.MAXIFS(Weight!$A$2:$A$1000,Weight!$A$2:$A$1000,"&lt;="&amp;A116),_xlfn.MINIFS(Weight!$A$2:$A$1000,Weight!$A$2:$A$1000,"&gt;0")),Weight!$A$2:$A$1000,0)),Settings!$B$6))</f>
        <v/>
      </c>
      <c r="I116" s="21">
        <f>IF(B116="","",IFERROR(INDEX(Settings!$B$10:$B$21,MATCH(B116,Settings!$A$10:$A$21,0)),4))</f>
        <v/>
      </c>
      <c r="J116" s="22">
        <f>IF(OR(A116="",C116="",I116=""),"",I116*H116*C116/60)</f>
        <v/>
      </c>
    </row>
    <row r="117">
      <c r="A117" s="35" t="n"/>
      <c r="B117" s="33" t="n"/>
      <c r="C117" s="31" t="n"/>
      <c r="D117" s="30" t="n"/>
      <c r="E117" s="33" t="n"/>
      <c r="F117" s="20">
        <f>IF(A117="","",WEEKNUM(A117,21))</f>
        <v/>
      </c>
      <c r="G117" s="21">
        <f>IF(OR(C117="",N(D117)=0),"",C117/D117)</f>
        <v/>
      </c>
      <c r="H117" s="21">
        <f>IF(A117="","",IFERROR(INDEX(Weight!$B$2:$B$1000,MATCH(IF(_xlfn.MAXIFS(Weight!$A$2:$A$1000,Weight!$A$2:$A$1000,"&lt;="&amp;A117)&gt;0,_xlfn.MAXIFS(Weight!$A$2:$A$1000,Weight!$A$2:$A$1000,"&lt;="&amp;A117),_xlfn.MINIFS(Weight!$A$2:$A$1000,Weight!$A$2:$A$1000,"&gt;0")),Weight!$A$2:$A$1000,0)),Settings!$B$6))</f>
        <v/>
      </c>
      <c r="I117" s="21">
        <f>IF(B117="","",IFERROR(INDEX(Settings!$B$10:$B$21,MATCH(B117,Settings!$A$10:$A$21,0)),4))</f>
        <v/>
      </c>
      <c r="J117" s="22">
        <f>IF(OR(A117="",C117="",I117=""),"",I117*H117*C117/60)</f>
        <v/>
      </c>
    </row>
    <row r="118">
      <c r="A118" s="35" t="n"/>
      <c r="B118" s="33" t="n"/>
      <c r="C118" s="31" t="n"/>
      <c r="D118" s="30" t="n"/>
      <c r="E118" s="33" t="n"/>
      <c r="F118" s="20">
        <f>IF(A118="","",WEEKNUM(A118,21))</f>
        <v/>
      </c>
      <c r="G118" s="21">
        <f>IF(OR(C118="",N(D118)=0),"",C118/D118)</f>
        <v/>
      </c>
      <c r="H118" s="21">
        <f>IF(A118="","",IFERROR(INDEX(Weight!$B$2:$B$1000,MATCH(IF(_xlfn.MAXIFS(Weight!$A$2:$A$1000,Weight!$A$2:$A$1000,"&lt;="&amp;A118)&gt;0,_xlfn.MAXIFS(Weight!$A$2:$A$1000,Weight!$A$2:$A$1000,"&lt;="&amp;A118),_xlfn.MINIFS(Weight!$A$2:$A$1000,Weight!$A$2:$A$1000,"&gt;0")),Weight!$A$2:$A$1000,0)),Settings!$B$6))</f>
        <v/>
      </c>
      <c r="I118" s="21">
        <f>IF(B118="","",IFERROR(INDEX(Settings!$B$10:$B$21,MATCH(B118,Settings!$A$10:$A$21,0)),4))</f>
        <v/>
      </c>
      <c r="J118" s="22">
        <f>IF(OR(A118="",C118="",I118=""),"",I118*H118*C118/60)</f>
        <v/>
      </c>
    </row>
    <row r="119">
      <c r="A119" s="35" t="n"/>
      <c r="B119" s="33" t="n"/>
      <c r="C119" s="31" t="n"/>
      <c r="D119" s="30" t="n"/>
      <c r="E119" s="33" t="n"/>
      <c r="F119" s="20">
        <f>IF(A119="","",WEEKNUM(A119,21))</f>
        <v/>
      </c>
      <c r="G119" s="21">
        <f>IF(OR(C119="",N(D119)=0),"",C119/D119)</f>
        <v/>
      </c>
      <c r="H119" s="21">
        <f>IF(A119="","",IFERROR(INDEX(Weight!$B$2:$B$1000,MATCH(IF(_xlfn.MAXIFS(Weight!$A$2:$A$1000,Weight!$A$2:$A$1000,"&lt;="&amp;A119)&gt;0,_xlfn.MAXIFS(Weight!$A$2:$A$1000,Weight!$A$2:$A$1000,"&lt;="&amp;A119),_xlfn.MINIFS(Weight!$A$2:$A$1000,Weight!$A$2:$A$1000,"&gt;0")),Weight!$A$2:$A$1000,0)),Settings!$B$6))</f>
        <v/>
      </c>
      <c r="I119" s="21">
        <f>IF(B119="","",IFERROR(INDEX(Settings!$B$10:$B$21,MATCH(B119,Settings!$A$10:$A$21,0)),4))</f>
        <v/>
      </c>
      <c r="J119" s="22">
        <f>IF(OR(A119="",C119="",I119=""),"",I119*H119*C119/60)</f>
        <v/>
      </c>
    </row>
    <row r="120">
      <c r="A120" s="35" t="n"/>
      <c r="B120" s="33" t="n"/>
      <c r="C120" s="31" t="n"/>
      <c r="D120" s="30" t="n"/>
      <c r="E120" s="33" t="n"/>
      <c r="F120" s="20">
        <f>IF(A120="","",WEEKNUM(A120,21))</f>
        <v/>
      </c>
      <c r="G120" s="21">
        <f>IF(OR(C120="",N(D120)=0),"",C120/D120)</f>
        <v/>
      </c>
      <c r="H120" s="21">
        <f>IF(A120="","",IFERROR(INDEX(Weight!$B$2:$B$1000,MATCH(IF(_xlfn.MAXIFS(Weight!$A$2:$A$1000,Weight!$A$2:$A$1000,"&lt;="&amp;A120)&gt;0,_xlfn.MAXIFS(Weight!$A$2:$A$1000,Weight!$A$2:$A$1000,"&lt;="&amp;A120),_xlfn.MINIFS(Weight!$A$2:$A$1000,Weight!$A$2:$A$1000,"&gt;0")),Weight!$A$2:$A$1000,0)),Settings!$B$6))</f>
        <v/>
      </c>
      <c r="I120" s="21">
        <f>IF(B120="","",IFERROR(INDEX(Settings!$B$10:$B$21,MATCH(B120,Settings!$A$10:$A$21,0)),4))</f>
        <v/>
      </c>
      <c r="J120" s="22">
        <f>IF(OR(A120="",C120="",I120=""),"",I120*H120*C120/60)</f>
        <v/>
      </c>
    </row>
    <row r="121">
      <c r="A121" s="35" t="n"/>
      <c r="B121" s="33" t="n"/>
      <c r="C121" s="31" t="n"/>
      <c r="D121" s="30" t="n"/>
      <c r="E121" s="33" t="n"/>
      <c r="F121" s="20">
        <f>IF(A121="","",WEEKNUM(A121,21))</f>
        <v/>
      </c>
      <c r="G121" s="21">
        <f>IF(OR(C121="",N(D121)=0),"",C121/D121)</f>
        <v/>
      </c>
      <c r="H121" s="21">
        <f>IF(A121="","",IFERROR(INDEX(Weight!$B$2:$B$1000,MATCH(IF(_xlfn.MAXIFS(Weight!$A$2:$A$1000,Weight!$A$2:$A$1000,"&lt;="&amp;A121)&gt;0,_xlfn.MAXIFS(Weight!$A$2:$A$1000,Weight!$A$2:$A$1000,"&lt;="&amp;A121),_xlfn.MINIFS(Weight!$A$2:$A$1000,Weight!$A$2:$A$1000,"&gt;0")),Weight!$A$2:$A$1000,0)),Settings!$B$6))</f>
        <v/>
      </c>
      <c r="I121" s="21">
        <f>IF(B121="","",IFERROR(INDEX(Settings!$B$10:$B$21,MATCH(B121,Settings!$A$10:$A$21,0)),4))</f>
        <v/>
      </c>
      <c r="J121" s="22">
        <f>IF(OR(A121="",C121="",I121=""),"",I121*H121*C121/60)</f>
        <v/>
      </c>
    </row>
    <row r="122">
      <c r="A122" s="35" t="n"/>
      <c r="B122" s="33" t="n"/>
      <c r="C122" s="31" t="n"/>
      <c r="D122" s="30" t="n"/>
      <c r="E122" s="33" t="n"/>
      <c r="F122" s="20">
        <f>IF(A122="","",WEEKNUM(A122,21))</f>
        <v/>
      </c>
      <c r="G122" s="21">
        <f>IF(OR(C122="",N(D122)=0),"",C122/D122)</f>
        <v/>
      </c>
      <c r="H122" s="21">
        <f>IF(A122="","",IFERROR(INDEX(Weight!$B$2:$B$1000,MATCH(IF(_xlfn.MAXIFS(Weight!$A$2:$A$1000,Weight!$A$2:$A$1000,"&lt;="&amp;A122)&gt;0,_xlfn.MAXIFS(Weight!$A$2:$A$1000,Weight!$A$2:$A$1000,"&lt;="&amp;A122),_xlfn.MINIFS(Weight!$A$2:$A$1000,Weight!$A$2:$A$1000,"&gt;0")),Weight!$A$2:$A$1000,0)),Settings!$B$6))</f>
        <v/>
      </c>
      <c r="I122" s="21">
        <f>IF(B122="","",IFERROR(INDEX(Settings!$B$10:$B$21,MATCH(B122,Settings!$A$10:$A$21,0)),4))</f>
        <v/>
      </c>
      <c r="J122" s="22">
        <f>IF(OR(A122="",C122="",I122=""),"",I122*H122*C122/60)</f>
        <v/>
      </c>
    </row>
    <row r="123">
      <c r="A123" s="35" t="n"/>
      <c r="B123" s="33" t="n"/>
      <c r="C123" s="31" t="n"/>
      <c r="D123" s="30" t="n"/>
      <c r="E123" s="33" t="n"/>
      <c r="F123" s="20">
        <f>IF(A123="","",WEEKNUM(A123,21))</f>
        <v/>
      </c>
      <c r="G123" s="21">
        <f>IF(OR(C123="",N(D123)=0),"",C123/D123)</f>
        <v/>
      </c>
      <c r="H123" s="21">
        <f>IF(A123="","",IFERROR(INDEX(Weight!$B$2:$B$1000,MATCH(IF(_xlfn.MAXIFS(Weight!$A$2:$A$1000,Weight!$A$2:$A$1000,"&lt;="&amp;A123)&gt;0,_xlfn.MAXIFS(Weight!$A$2:$A$1000,Weight!$A$2:$A$1000,"&lt;="&amp;A123),_xlfn.MINIFS(Weight!$A$2:$A$1000,Weight!$A$2:$A$1000,"&gt;0")),Weight!$A$2:$A$1000,0)),Settings!$B$6))</f>
        <v/>
      </c>
      <c r="I123" s="21">
        <f>IF(B123="","",IFERROR(INDEX(Settings!$B$10:$B$21,MATCH(B123,Settings!$A$10:$A$21,0)),4))</f>
        <v/>
      </c>
      <c r="J123" s="22">
        <f>IF(OR(A123="",C123="",I123=""),"",I123*H123*C123/60)</f>
        <v/>
      </c>
    </row>
    <row r="124">
      <c r="A124" s="35" t="n"/>
      <c r="B124" s="33" t="n"/>
      <c r="C124" s="31" t="n"/>
      <c r="D124" s="30" t="n"/>
      <c r="E124" s="33" t="n"/>
      <c r="F124" s="20">
        <f>IF(A124="","",WEEKNUM(A124,21))</f>
        <v/>
      </c>
      <c r="G124" s="21">
        <f>IF(OR(C124="",N(D124)=0),"",C124/D124)</f>
        <v/>
      </c>
      <c r="H124" s="21">
        <f>IF(A124="","",IFERROR(INDEX(Weight!$B$2:$B$1000,MATCH(IF(_xlfn.MAXIFS(Weight!$A$2:$A$1000,Weight!$A$2:$A$1000,"&lt;="&amp;A124)&gt;0,_xlfn.MAXIFS(Weight!$A$2:$A$1000,Weight!$A$2:$A$1000,"&lt;="&amp;A124),_xlfn.MINIFS(Weight!$A$2:$A$1000,Weight!$A$2:$A$1000,"&gt;0")),Weight!$A$2:$A$1000,0)),Settings!$B$6))</f>
        <v/>
      </c>
      <c r="I124" s="21">
        <f>IF(B124="","",IFERROR(INDEX(Settings!$B$10:$B$21,MATCH(B124,Settings!$A$10:$A$21,0)),4))</f>
        <v/>
      </c>
      <c r="J124" s="22">
        <f>IF(OR(A124="",C124="",I124=""),"",I124*H124*C124/60)</f>
        <v/>
      </c>
    </row>
    <row r="125">
      <c r="A125" s="35" t="n"/>
      <c r="B125" s="33" t="n"/>
      <c r="C125" s="31" t="n"/>
      <c r="D125" s="30" t="n"/>
      <c r="E125" s="33" t="n"/>
      <c r="F125" s="20">
        <f>IF(A125="","",WEEKNUM(A125,21))</f>
        <v/>
      </c>
      <c r="G125" s="21">
        <f>IF(OR(C125="",N(D125)=0),"",C125/D125)</f>
        <v/>
      </c>
      <c r="H125" s="21">
        <f>IF(A125="","",IFERROR(INDEX(Weight!$B$2:$B$1000,MATCH(IF(_xlfn.MAXIFS(Weight!$A$2:$A$1000,Weight!$A$2:$A$1000,"&lt;="&amp;A125)&gt;0,_xlfn.MAXIFS(Weight!$A$2:$A$1000,Weight!$A$2:$A$1000,"&lt;="&amp;A125),_xlfn.MINIFS(Weight!$A$2:$A$1000,Weight!$A$2:$A$1000,"&gt;0")),Weight!$A$2:$A$1000,0)),Settings!$B$6))</f>
        <v/>
      </c>
      <c r="I125" s="21">
        <f>IF(B125="","",IFERROR(INDEX(Settings!$B$10:$B$21,MATCH(B125,Settings!$A$10:$A$21,0)),4))</f>
        <v/>
      </c>
      <c r="J125" s="22">
        <f>IF(OR(A125="",C125="",I125=""),"",I125*H125*C125/60)</f>
        <v/>
      </c>
    </row>
    <row r="126">
      <c r="A126" s="35" t="n"/>
      <c r="B126" s="33" t="n"/>
      <c r="C126" s="31" t="n"/>
      <c r="D126" s="30" t="n"/>
      <c r="E126" s="33" t="n"/>
      <c r="F126" s="20">
        <f>IF(A126="","",WEEKNUM(A126,21))</f>
        <v/>
      </c>
      <c r="G126" s="21">
        <f>IF(OR(C126="",N(D126)=0),"",C126/D126)</f>
        <v/>
      </c>
      <c r="H126" s="21">
        <f>IF(A126="","",IFERROR(INDEX(Weight!$B$2:$B$1000,MATCH(IF(_xlfn.MAXIFS(Weight!$A$2:$A$1000,Weight!$A$2:$A$1000,"&lt;="&amp;A126)&gt;0,_xlfn.MAXIFS(Weight!$A$2:$A$1000,Weight!$A$2:$A$1000,"&lt;="&amp;A126),_xlfn.MINIFS(Weight!$A$2:$A$1000,Weight!$A$2:$A$1000,"&gt;0")),Weight!$A$2:$A$1000,0)),Settings!$B$6))</f>
        <v/>
      </c>
      <c r="I126" s="21">
        <f>IF(B126="","",IFERROR(INDEX(Settings!$B$10:$B$21,MATCH(B126,Settings!$A$10:$A$21,0)),4))</f>
        <v/>
      </c>
      <c r="J126" s="22">
        <f>IF(OR(A126="",C126="",I126=""),"",I126*H126*C126/60)</f>
        <v/>
      </c>
    </row>
    <row r="127">
      <c r="A127" s="35" t="n"/>
      <c r="B127" s="33" t="n"/>
      <c r="C127" s="31" t="n"/>
      <c r="D127" s="30" t="n"/>
      <c r="E127" s="33" t="n"/>
      <c r="F127" s="20">
        <f>IF(A127="","",WEEKNUM(A127,21))</f>
        <v/>
      </c>
      <c r="G127" s="21">
        <f>IF(OR(C127="",N(D127)=0),"",C127/D127)</f>
        <v/>
      </c>
      <c r="H127" s="21">
        <f>IF(A127="","",IFERROR(INDEX(Weight!$B$2:$B$1000,MATCH(IF(_xlfn.MAXIFS(Weight!$A$2:$A$1000,Weight!$A$2:$A$1000,"&lt;="&amp;A127)&gt;0,_xlfn.MAXIFS(Weight!$A$2:$A$1000,Weight!$A$2:$A$1000,"&lt;="&amp;A127),_xlfn.MINIFS(Weight!$A$2:$A$1000,Weight!$A$2:$A$1000,"&gt;0")),Weight!$A$2:$A$1000,0)),Settings!$B$6))</f>
        <v/>
      </c>
      <c r="I127" s="21">
        <f>IF(B127="","",IFERROR(INDEX(Settings!$B$10:$B$21,MATCH(B127,Settings!$A$10:$A$21,0)),4))</f>
        <v/>
      </c>
      <c r="J127" s="22">
        <f>IF(OR(A127="",C127="",I127=""),"",I127*H127*C127/60)</f>
        <v/>
      </c>
    </row>
    <row r="128">
      <c r="A128" s="35" t="n"/>
      <c r="B128" s="33" t="n"/>
      <c r="C128" s="31" t="n"/>
      <c r="D128" s="30" t="n"/>
      <c r="E128" s="33" t="n"/>
      <c r="F128" s="20">
        <f>IF(A128="","",WEEKNUM(A128,21))</f>
        <v/>
      </c>
      <c r="G128" s="21">
        <f>IF(OR(C128="",N(D128)=0),"",C128/D128)</f>
        <v/>
      </c>
      <c r="H128" s="21">
        <f>IF(A128="","",IFERROR(INDEX(Weight!$B$2:$B$1000,MATCH(IF(_xlfn.MAXIFS(Weight!$A$2:$A$1000,Weight!$A$2:$A$1000,"&lt;="&amp;A128)&gt;0,_xlfn.MAXIFS(Weight!$A$2:$A$1000,Weight!$A$2:$A$1000,"&lt;="&amp;A128),_xlfn.MINIFS(Weight!$A$2:$A$1000,Weight!$A$2:$A$1000,"&gt;0")),Weight!$A$2:$A$1000,0)),Settings!$B$6))</f>
        <v/>
      </c>
      <c r="I128" s="21">
        <f>IF(B128="","",IFERROR(INDEX(Settings!$B$10:$B$21,MATCH(B128,Settings!$A$10:$A$21,0)),4))</f>
        <v/>
      </c>
      <c r="J128" s="22">
        <f>IF(OR(A128="",C128="",I128=""),"",I128*H128*C128/60)</f>
        <v/>
      </c>
    </row>
    <row r="129">
      <c r="A129" s="35" t="n"/>
      <c r="B129" s="33" t="n"/>
      <c r="C129" s="31" t="n"/>
      <c r="D129" s="30" t="n"/>
      <c r="E129" s="33" t="n"/>
      <c r="F129" s="20">
        <f>IF(A129="","",WEEKNUM(A129,21))</f>
        <v/>
      </c>
      <c r="G129" s="21">
        <f>IF(OR(C129="",N(D129)=0),"",C129/D129)</f>
        <v/>
      </c>
      <c r="H129" s="21">
        <f>IF(A129="","",IFERROR(INDEX(Weight!$B$2:$B$1000,MATCH(IF(_xlfn.MAXIFS(Weight!$A$2:$A$1000,Weight!$A$2:$A$1000,"&lt;="&amp;A129)&gt;0,_xlfn.MAXIFS(Weight!$A$2:$A$1000,Weight!$A$2:$A$1000,"&lt;="&amp;A129),_xlfn.MINIFS(Weight!$A$2:$A$1000,Weight!$A$2:$A$1000,"&gt;0")),Weight!$A$2:$A$1000,0)),Settings!$B$6))</f>
        <v/>
      </c>
      <c r="I129" s="21">
        <f>IF(B129="","",IFERROR(INDEX(Settings!$B$10:$B$21,MATCH(B129,Settings!$A$10:$A$21,0)),4))</f>
        <v/>
      </c>
      <c r="J129" s="22">
        <f>IF(OR(A129="",C129="",I129=""),"",I129*H129*C129/60)</f>
        <v/>
      </c>
    </row>
    <row r="130">
      <c r="A130" s="35" t="n"/>
      <c r="B130" s="33" t="n"/>
      <c r="C130" s="31" t="n"/>
      <c r="D130" s="30" t="n"/>
      <c r="E130" s="33" t="n"/>
      <c r="F130" s="20">
        <f>IF(A130="","",WEEKNUM(A130,21))</f>
        <v/>
      </c>
      <c r="G130" s="21">
        <f>IF(OR(C130="",N(D130)=0),"",C130/D130)</f>
        <v/>
      </c>
      <c r="H130" s="21">
        <f>IF(A130="","",IFERROR(INDEX(Weight!$B$2:$B$1000,MATCH(IF(_xlfn.MAXIFS(Weight!$A$2:$A$1000,Weight!$A$2:$A$1000,"&lt;="&amp;A130)&gt;0,_xlfn.MAXIFS(Weight!$A$2:$A$1000,Weight!$A$2:$A$1000,"&lt;="&amp;A130),_xlfn.MINIFS(Weight!$A$2:$A$1000,Weight!$A$2:$A$1000,"&gt;0")),Weight!$A$2:$A$1000,0)),Settings!$B$6))</f>
        <v/>
      </c>
      <c r="I130" s="21">
        <f>IF(B130="","",IFERROR(INDEX(Settings!$B$10:$B$21,MATCH(B130,Settings!$A$10:$A$21,0)),4))</f>
        <v/>
      </c>
      <c r="J130" s="22">
        <f>IF(OR(A130="",C130="",I130=""),"",I130*H130*C130/60)</f>
        <v/>
      </c>
    </row>
    <row r="131">
      <c r="A131" s="35" t="n"/>
      <c r="B131" s="33" t="n"/>
      <c r="C131" s="31" t="n"/>
      <c r="D131" s="30" t="n"/>
      <c r="E131" s="33" t="n"/>
      <c r="F131" s="20">
        <f>IF(A131="","",WEEKNUM(A131,21))</f>
        <v/>
      </c>
      <c r="G131" s="21">
        <f>IF(OR(C131="",N(D131)=0),"",C131/D131)</f>
        <v/>
      </c>
      <c r="H131" s="21">
        <f>IF(A131="","",IFERROR(INDEX(Weight!$B$2:$B$1000,MATCH(IF(_xlfn.MAXIFS(Weight!$A$2:$A$1000,Weight!$A$2:$A$1000,"&lt;="&amp;A131)&gt;0,_xlfn.MAXIFS(Weight!$A$2:$A$1000,Weight!$A$2:$A$1000,"&lt;="&amp;A131),_xlfn.MINIFS(Weight!$A$2:$A$1000,Weight!$A$2:$A$1000,"&gt;0")),Weight!$A$2:$A$1000,0)),Settings!$B$6))</f>
        <v/>
      </c>
      <c r="I131" s="21">
        <f>IF(B131="","",IFERROR(INDEX(Settings!$B$10:$B$21,MATCH(B131,Settings!$A$10:$A$21,0)),4))</f>
        <v/>
      </c>
      <c r="J131" s="22">
        <f>IF(OR(A131="",C131="",I131=""),"",I131*H131*C131/60)</f>
        <v/>
      </c>
    </row>
    <row r="132">
      <c r="A132" s="35" t="n"/>
      <c r="B132" s="33" t="n"/>
      <c r="C132" s="31" t="n"/>
      <c r="D132" s="30" t="n"/>
      <c r="E132" s="33" t="n"/>
      <c r="F132" s="20">
        <f>IF(A132="","",WEEKNUM(A132,21))</f>
        <v/>
      </c>
      <c r="G132" s="21">
        <f>IF(OR(C132="",N(D132)=0),"",C132/D132)</f>
        <v/>
      </c>
      <c r="H132" s="21">
        <f>IF(A132="","",IFERROR(INDEX(Weight!$B$2:$B$1000,MATCH(IF(_xlfn.MAXIFS(Weight!$A$2:$A$1000,Weight!$A$2:$A$1000,"&lt;="&amp;A132)&gt;0,_xlfn.MAXIFS(Weight!$A$2:$A$1000,Weight!$A$2:$A$1000,"&lt;="&amp;A132),_xlfn.MINIFS(Weight!$A$2:$A$1000,Weight!$A$2:$A$1000,"&gt;0")),Weight!$A$2:$A$1000,0)),Settings!$B$6))</f>
        <v/>
      </c>
      <c r="I132" s="21">
        <f>IF(B132="","",IFERROR(INDEX(Settings!$B$10:$B$21,MATCH(B132,Settings!$A$10:$A$21,0)),4))</f>
        <v/>
      </c>
      <c r="J132" s="22">
        <f>IF(OR(A132="",C132="",I132=""),"",I132*H132*C132/60)</f>
        <v/>
      </c>
    </row>
    <row r="133">
      <c r="A133" s="35" t="n"/>
      <c r="B133" s="33" t="n"/>
      <c r="C133" s="31" t="n"/>
      <c r="D133" s="30" t="n"/>
      <c r="E133" s="33" t="n"/>
      <c r="F133" s="20">
        <f>IF(A133="","",WEEKNUM(A133,21))</f>
        <v/>
      </c>
      <c r="G133" s="21">
        <f>IF(OR(C133="",N(D133)=0),"",C133/D133)</f>
        <v/>
      </c>
      <c r="H133" s="21">
        <f>IF(A133="","",IFERROR(INDEX(Weight!$B$2:$B$1000,MATCH(IF(_xlfn.MAXIFS(Weight!$A$2:$A$1000,Weight!$A$2:$A$1000,"&lt;="&amp;A133)&gt;0,_xlfn.MAXIFS(Weight!$A$2:$A$1000,Weight!$A$2:$A$1000,"&lt;="&amp;A133),_xlfn.MINIFS(Weight!$A$2:$A$1000,Weight!$A$2:$A$1000,"&gt;0")),Weight!$A$2:$A$1000,0)),Settings!$B$6))</f>
        <v/>
      </c>
      <c r="I133" s="21">
        <f>IF(B133="","",IFERROR(INDEX(Settings!$B$10:$B$21,MATCH(B133,Settings!$A$10:$A$21,0)),4))</f>
        <v/>
      </c>
      <c r="J133" s="22">
        <f>IF(OR(A133="",C133="",I133=""),"",I133*H133*C133/60)</f>
        <v/>
      </c>
    </row>
    <row r="134">
      <c r="A134" s="35" t="n"/>
      <c r="B134" s="33" t="n"/>
      <c r="C134" s="31" t="n"/>
      <c r="D134" s="30" t="n"/>
      <c r="E134" s="33" t="n"/>
      <c r="F134" s="20">
        <f>IF(A134="","",WEEKNUM(A134,21))</f>
        <v/>
      </c>
      <c r="G134" s="21">
        <f>IF(OR(C134="",N(D134)=0),"",C134/D134)</f>
        <v/>
      </c>
      <c r="H134" s="21">
        <f>IF(A134="","",IFERROR(INDEX(Weight!$B$2:$B$1000,MATCH(IF(_xlfn.MAXIFS(Weight!$A$2:$A$1000,Weight!$A$2:$A$1000,"&lt;="&amp;A134)&gt;0,_xlfn.MAXIFS(Weight!$A$2:$A$1000,Weight!$A$2:$A$1000,"&lt;="&amp;A134),_xlfn.MINIFS(Weight!$A$2:$A$1000,Weight!$A$2:$A$1000,"&gt;0")),Weight!$A$2:$A$1000,0)),Settings!$B$6))</f>
        <v/>
      </c>
      <c r="I134" s="21">
        <f>IF(B134="","",IFERROR(INDEX(Settings!$B$10:$B$21,MATCH(B134,Settings!$A$10:$A$21,0)),4))</f>
        <v/>
      </c>
      <c r="J134" s="22">
        <f>IF(OR(A134="",C134="",I134=""),"",I134*H134*C134/60)</f>
        <v/>
      </c>
    </row>
    <row r="135">
      <c r="A135" s="35" t="n"/>
      <c r="B135" s="33" t="n"/>
      <c r="C135" s="31" t="n"/>
      <c r="D135" s="30" t="n"/>
      <c r="E135" s="33" t="n"/>
      <c r="F135" s="20">
        <f>IF(A135="","",WEEKNUM(A135,21))</f>
        <v/>
      </c>
      <c r="G135" s="21">
        <f>IF(OR(C135="",N(D135)=0),"",C135/D135)</f>
        <v/>
      </c>
      <c r="H135" s="21">
        <f>IF(A135="","",IFERROR(INDEX(Weight!$B$2:$B$1000,MATCH(IF(_xlfn.MAXIFS(Weight!$A$2:$A$1000,Weight!$A$2:$A$1000,"&lt;="&amp;A135)&gt;0,_xlfn.MAXIFS(Weight!$A$2:$A$1000,Weight!$A$2:$A$1000,"&lt;="&amp;A135),_xlfn.MINIFS(Weight!$A$2:$A$1000,Weight!$A$2:$A$1000,"&gt;0")),Weight!$A$2:$A$1000,0)),Settings!$B$6))</f>
        <v/>
      </c>
      <c r="I135" s="21">
        <f>IF(B135="","",IFERROR(INDEX(Settings!$B$10:$B$21,MATCH(B135,Settings!$A$10:$A$21,0)),4))</f>
        <v/>
      </c>
      <c r="J135" s="22">
        <f>IF(OR(A135="",C135="",I135=""),"",I135*H135*C135/60)</f>
        <v/>
      </c>
    </row>
    <row r="136">
      <c r="A136" s="35" t="n"/>
      <c r="B136" s="33" t="n"/>
      <c r="C136" s="31" t="n"/>
      <c r="D136" s="30" t="n"/>
      <c r="E136" s="33" t="n"/>
      <c r="F136" s="20">
        <f>IF(A136="","",WEEKNUM(A136,21))</f>
        <v/>
      </c>
      <c r="G136" s="21">
        <f>IF(OR(C136="",N(D136)=0),"",C136/D136)</f>
        <v/>
      </c>
      <c r="H136" s="21">
        <f>IF(A136="","",IFERROR(INDEX(Weight!$B$2:$B$1000,MATCH(IF(_xlfn.MAXIFS(Weight!$A$2:$A$1000,Weight!$A$2:$A$1000,"&lt;="&amp;A136)&gt;0,_xlfn.MAXIFS(Weight!$A$2:$A$1000,Weight!$A$2:$A$1000,"&lt;="&amp;A136),_xlfn.MINIFS(Weight!$A$2:$A$1000,Weight!$A$2:$A$1000,"&gt;0")),Weight!$A$2:$A$1000,0)),Settings!$B$6))</f>
        <v/>
      </c>
      <c r="I136" s="21">
        <f>IF(B136="","",IFERROR(INDEX(Settings!$B$10:$B$21,MATCH(B136,Settings!$A$10:$A$21,0)),4))</f>
        <v/>
      </c>
      <c r="J136" s="22">
        <f>IF(OR(A136="",C136="",I136=""),"",I136*H136*C136/60)</f>
        <v/>
      </c>
    </row>
    <row r="137">
      <c r="A137" s="35" t="n"/>
      <c r="B137" s="33" t="n"/>
      <c r="C137" s="31" t="n"/>
      <c r="D137" s="30" t="n"/>
      <c r="E137" s="33" t="n"/>
      <c r="F137" s="20">
        <f>IF(A137="","",WEEKNUM(A137,21))</f>
        <v/>
      </c>
      <c r="G137" s="21">
        <f>IF(OR(C137="",N(D137)=0),"",C137/D137)</f>
        <v/>
      </c>
      <c r="H137" s="21">
        <f>IF(A137="","",IFERROR(INDEX(Weight!$B$2:$B$1000,MATCH(IF(_xlfn.MAXIFS(Weight!$A$2:$A$1000,Weight!$A$2:$A$1000,"&lt;="&amp;A137)&gt;0,_xlfn.MAXIFS(Weight!$A$2:$A$1000,Weight!$A$2:$A$1000,"&lt;="&amp;A137),_xlfn.MINIFS(Weight!$A$2:$A$1000,Weight!$A$2:$A$1000,"&gt;0")),Weight!$A$2:$A$1000,0)),Settings!$B$6))</f>
        <v/>
      </c>
      <c r="I137" s="21">
        <f>IF(B137="","",IFERROR(INDEX(Settings!$B$10:$B$21,MATCH(B137,Settings!$A$10:$A$21,0)),4))</f>
        <v/>
      </c>
      <c r="J137" s="22">
        <f>IF(OR(A137="",C137="",I137=""),"",I137*H137*C137/60)</f>
        <v/>
      </c>
    </row>
    <row r="138">
      <c r="A138" s="35" t="n"/>
      <c r="B138" s="33" t="n"/>
      <c r="C138" s="31" t="n"/>
      <c r="D138" s="30" t="n"/>
      <c r="E138" s="33" t="n"/>
      <c r="F138" s="20">
        <f>IF(A138="","",WEEKNUM(A138,21))</f>
        <v/>
      </c>
      <c r="G138" s="21">
        <f>IF(OR(C138="",N(D138)=0),"",C138/D138)</f>
        <v/>
      </c>
      <c r="H138" s="21">
        <f>IF(A138="","",IFERROR(INDEX(Weight!$B$2:$B$1000,MATCH(IF(_xlfn.MAXIFS(Weight!$A$2:$A$1000,Weight!$A$2:$A$1000,"&lt;="&amp;A138)&gt;0,_xlfn.MAXIFS(Weight!$A$2:$A$1000,Weight!$A$2:$A$1000,"&lt;="&amp;A138),_xlfn.MINIFS(Weight!$A$2:$A$1000,Weight!$A$2:$A$1000,"&gt;0")),Weight!$A$2:$A$1000,0)),Settings!$B$6))</f>
        <v/>
      </c>
      <c r="I138" s="21">
        <f>IF(B138="","",IFERROR(INDEX(Settings!$B$10:$B$21,MATCH(B138,Settings!$A$10:$A$21,0)),4))</f>
        <v/>
      </c>
      <c r="J138" s="22">
        <f>IF(OR(A138="",C138="",I138=""),"",I138*H138*C138/60)</f>
        <v/>
      </c>
    </row>
    <row r="139">
      <c r="A139" s="35" t="n"/>
      <c r="B139" s="33" t="n"/>
      <c r="C139" s="31" t="n"/>
      <c r="D139" s="30" t="n"/>
      <c r="E139" s="33" t="n"/>
      <c r="F139" s="20">
        <f>IF(A139="","",WEEKNUM(A139,21))</f>
        <v/>
      </c>
      <c r="G139" s="21">
        <f>IF(OR(C139="",N(D139)=0),"",C139/D139)</f>
        <v/>
      </c>
      <c r="H139" s="21">
        <f>IF(A139="","",IFERROR(INDEX(Weight!$B$2:$B$1000,MATCH(IF(_xlfn.MAXIFS(Weight!$A$2:$A$1000,Weight!$A$2:$A$1000,"&lt;="&amp;A139)&gt;0,_xlfn.MAXIFS(Weight!$A$2:$A$1000,Weight!$A$2:$A$1000,"&lt;="&amp;A139),_xlfn.MINIFS(Weight!$A$2:$A$1000,Weight!$A$2:$A$1000,"&gt;0")),Weight!$A$2:$A$1000,0)),Settings!$B$6))</f>
        <v/>
      </c>
      <c r="I139" s="21">
        <f>IF(B139="","",IFERROR(INDEX(Settings!$B$10:$B$21,MATCH(B139,Settings!$A$10:$A$21,0)),4))</f>
        <v/>
      </c>
      <c r="J139" s="22">
        <f>IF(OR(A139="",C139="",I139=""),"",I139*H139*C139/60)</f>
        <v/>
      </c>
    </row>
    <row r="140">
      <c r="A140" s="35" t="n"/>
      <c r="B140" s="33" t="n"/>
      <c r="C140" s="31" t="n"/>
      <c r="D140" s="30" t="n"/>
      <c r="E140" s="33" t="n"/>
      <c r="F140" s="20">
        <f>IF(A140="","",WEEKNUM(A140,21))</f>
        <v/>
      </c>
      <c r="G140" s="21">
        <f>IF(OR(C140="",N(D140)=0),"",C140/D140)</f>
        <v/>
      </c>
      <c r="H140" s="21">
        <f>IF(A140="","",IFERROR(INDEX(Weight!$B$2:$B$1000,MATCH(IF(_xlfn.MAXIFS(Weight!$A$2:$A$1000,Weight!$A$2:$A$1000,"&lt;="&amp;A140)&gt;0,_xlfn.MAXIFS(Weight!$A$2:$A$1000,Weight!$A$2:$A$1000,"&lt;="&amp;A140),_xlfn.MINIFS(Weight!$A$2:$A$1000,Weight!$A$2:$A$1000,"&gt;0")),Weight!$A$2:$A$1000,0)),Settings!$B$6))</f>
        <v/>
      </c>
      <c r="I140" s="21">
        <f>IF(B140="","",IFERROR(INDEX(Settings!$B$10:$B$21,MATCH(B140,Settings!$A$10:$A$21,0)),4))</f>
        <v/>
      </c>
      <c r="J140" s="22">
        <f>IF(OR(A140="",C140="",I140=""),"",I140*H140*C140/60)</f>
        <v/>
      </c>
    </row>
    <row r="141">
      <c r="A141" s="35" t="n"/>
      <c r="B141" s="33" t="n"/>
      <c r="C141" s="31" t="n"/>
      <c r="D141" s="30" t="n"/>
      <c r="E141" s="33" t="n"/>
      <c r="F141" s="20">
        <f>IF(A141="","",WEEKNUM(A141,21))</f>
        <v/>
      </c>
      <c r="G141" s="21">
        <f>IF(OR(C141="",N(D141)=0),"",C141/D141)</f>
        <v/>
      </c>
      <c r="H141" s="21">
        <f>IF(A141="","",IFERROR(INDEX(Weight!$B$2:$B$1000,MATCH(IF(_xlfn.MAXIFS(Weight!$A$2:$A$1000,Weight!$A$2:$A$1000,"&lt;="&amp;A141)&gt;0,_xlfn.MAXIFS(Weight!$A$2:$A$1000,Weight!$A$2:$A$1000,"&lt;="&amp;A141),_xlfn.MINIFS(Weight!$A$2:$A$1000,Weight!$A$2:$A$1000,"&gt;0")),Weight!$A$2:$A$1000,0)),Settings!$B$6))</f>
        <v/>
      </c>
      <c r="I141" s="21">
        <f>IF(B141="","",IFERROR(INDEX(Settings!$B$10:$B$21,MATCH(B141,Settings!$A$10:$A$21,0)),4))</f>
        <v/>
      </c>
      <c r="J141" s="22">
        <f>IF(OR(A141="",C141="",I141=""),"",I141*H141*C141/60)</f>
        <v/>
      </c>
    </row>
    <row r="142">
      <c r="A142" s="35" t="n"/>
      <c r="B142" s="33" t="n"/>
      <c r="C142" s="31" t="n"/>
      <c r="D142" s="30" t="n"/>
      <c r="E142" s="33" t="n"/>
      <c r="F142" s="20">
        <f>IF(A142="","",WEEKNUM(A142,21))</f>
        <v/>
      </c>
      <c r="G142" s="21">
        <f>IF(OR(C142="",N(D142)=0),"",C142/D142)</f>
        <v/>
      </c>
      <c r="H142" s="21">
        <f>IF(A142="","",IFERROR(INDEX(Weight!$B$2:$B$1000,MATCH(IF(_xlfn.MAXIFS(Weight!$A$2:$A$1000,Weight!$A$2:$A$1000,"&lt;="&amp;A142)&gt;0,_xlfn.MAXIFS(Weight!$A$2:$A$1000,Weight!$A$2:$A$1000,"&lt;="&amp;A142),_xlfn.MINIFS(Weight!$A$2:$A$1000,Weight!$A$2:$A$1000,"&gt;0")),Weight!$A$2:$A$1000,0)),Settings!$B$6))</f>
        <v/>
      </c>
      <c r="I142" s="21">
        <f>IF(B142="","",IFERROR(INDEX(Settings!$B$10:$B$21,MATCH(B142,Settings!$A$10:$A$21,0)),4))</f>
        <v/>
      </c>
      <c r="J142" s="22">
        <f>IF(OR(A142="",C142="",I142=""),"",I142*H142*C142/60)</f>
        <v/>
      </c>
    </row>
    <row r="143">
      <c r="A143" s="35" t="n"/>
      <c r="B143" s="33" t="n"/>
      <c r="C143" s="31" t="n"/>
      <c r="D143" s="30" t="n"/>
      <c r="E143" s="33" t="n"/>
      <c r="F143" s="20">
        <f>IF(A143="","",WEEKNUM(A143,21))</f>
        <v/>
      </c>
      <c r="G143" s="21">
        <f>IF(OR(C143="",N(D143)=0),"",C143/D143)</f>
        <v/>
      </c>
      <c r="H143" s="21">
        <f>IF(A143="","",IFERROR(INDEX(Weight!$B$2:$B$1000,MATCH(IF(_xlfn.MAXIFS(Weight!$A$2:$A$1000,Weight!$A$2:$A$1000,"&lt;="&amp;A143)&gt;0,_xlfn.MAXIFS(Weight!$A$2:$A$1000,Weight!$A$2:$A$1000,"&lt;="&amp;A143),_xlfn.MINIFS(Weight!$A$2:$A$1000,Weight!$A$2:$A$1000,"&gt;0")),Weight!$A$2:$A$1000,0)),Settings!$B$6))</f>
        <v/>
      </c>
      <c r="I143" s="21">
        <f>IF(B143="","",IFERROR(INDEX(Settings!$B$10:$B$21,MATCH(B143,Settings!$A$10:$A$21,0)),4))</f>
        <v/>
      </c>
      <c r="J143" s="22">
        <f>IF(OR(A143="",C143="",I143=""),"",I143*H143*C143/60)</f>
        <v/>
      </c>
    </row>
    <row r="144">
      <c r="A144" s="35" t="n"/>
      <c r="B144" s="33" t="n"/>
      <c r="C144" s="31" t="n"/>
      <c r="D144" s="30" t="n"/>
      <c r="E144" s="33" t="n"/>
      <c r="F144" s="20">
        <f>IF(A144="","",WEEKNUM(A144,21))</f>
        <v/>
      </c>
      <c r="G144" s="21">
        <f>IF(OR(C144="",N(D144)=0),"",C144/D144)</f>
        <v/>
      </c>
      <c r="H144" s="21">
        <f>IF(A144="","",IFERROR(INDEX(Weight!$B$2:$B$1000,MATCH(IF(_xlfn.MAXIFS(Weight!$A$2:$A$1000,Weight!$A$2:$A$1000,"&lt;="&amp;A144)&gt;0,_xlfn.MAXIFS(Weight!$A$2:$A$1000,Weight!$A$2:$A$1000,"&lt;="&amp;A144),_xlfn.MINIFS(Weight!$A$2:$A$1000,Weight!$A$2:$A$1000,"&gt;0")),Weight!$A$2:$A$1000,0)),Settings!$B$6))</f>
        <v/>
      </c>
      <c r="I144" s="21">
        <f>IF(B144="","",IFERROR(INDEX(Settings!$B$10:$B$21,MATCH(B144,Settings!$A$10:$A$21,0)),4))</f>
        <v/>
      </c>
      <c r="J144" s="22">
        <f>IF(OR(A144="",C144="",I144=""),"",I144*H144*C144/60)</f>
        <v/>
      </c>
    </row>
    <row r="145">
      <c r="A145" s="35" t="n"/>
      <c r="B145" s="33" t="n"/>
      <c r="C145" s="31" t="n"/>
      <c r="D145" s="30" t="n"/>
      <c r="E145" s="33" t="n"/>
      <c r="F145" s="20">
        <f>IF(A145="","",WEEKNUM(A145,21))</f>
        <v/>
      </c>
      <c r="G145" s="21">
        <f>IF(OR(C145="",N(D145)=0),"",C145/D145)</f>
        <v/>
      </c>
      <c r="H145" s="21">
        <f>IF(A145="","",IFERROR(INDEX(Weight!$B$2:$B$1000,MATCH(IF(_xlfn.MAXIFS(Weight!$A$2:$A$1000,Weight!$A$2:$A$1000,"&lt;="&amp;A145)&gt;0,_xlfn.MAXIFS(Weight!$A$2:$A$1000,Weight!$A$2:$A$1000,"&lt;="&amp;A145),_xlfn.MINIFS(Weight!$A$2:$A$1000,Weight!$A$2:$A$1000,"&gt;0")),Weight!$A$2:$A$1000,0)),Settings!$B$6))</f>
        <v/>
      </c>
      <c r="I145" s="21">
        <f>IF(B145="","",IFERROR(INDEX(Settings!$B$10:$B$21,MATCH(B145,Settings!$A$10:$A$21,0)),4))</f>
        <v/>
      </c>
      <c r="J145" s="22">
        <f>IF(OR(A145="",C145="",I145=""),"",I145*H145*C145/60)</f>
        <v/>
      </c>
    </row>
    <row r="146">
      <c r="A146" s="35" t="n"/>
      <c r="B146" s="33" t="n"/>
      <c r="C146" s="31" t="n"/>
      <c r="D146" s="30" t="n"/>
      <c r="E146" s="33" t="n"/>
      <c r="F146" s="20">
        <f>IF(A146="","",WEEKNUM(A146,21))</f>
        <v/>
      </c>
      <c r="G146" s="21">
        <f>IF(OR(C146="",N(D146)=0),"",C146/D146)</f>
        <v/>
      </c>
      <c r="H146" s="21">
        <f>IF(A146="","",IFERROR(INDEX(Weight!$B$2:$B$1000,MATCH(IF(_xlfn.MAXIFS(Weight!$A$2:$A$1000,Weight!$A$2:$A$1000,"&lt;="&amp;A146)&gt;0,_xlfn.MAXIFS(Weight!$A$2:$A$1000,Weight!$A$2:$A$1000,"&lt;="&amp;A146),_xlfn.MINIFS(Weight!$A$2:$A$1000,Weight!$A$2:$A$1000,"&gt;0")),Weight!$A$2:$A$1000,0)),Settings!$B$6))</f>
        <v/>
      </c>
      <c r="I146" s="21">
        <f>IF(B146="","",IFERROR(INDEX(Settings!$B$10:$B$21,MATCH(B146,Settings!$A$10:$A$21,0)),4))</f>
        <v/>
      </c>
      <c r="J146" s="22">
        <f>IF(OR(A146="",C146="",I146=""),"",I146*H146*C146/60)</f>
        <v/>
      </c>
    </row>
    <row r="147">
      <c r="A147" s="35" t="n"/>
      <c r="B147" s="33" t="n"/>
      <c r="C147" s="31" t="n"/>
      <c r="D147" s="30" t="n"/>
      <c r="E147" s="33" t="n"/>
      <c r="F147" s="20">
        <f>IF(A147="","",WEEKNUM(A147,21))</f>
        <v/>
      </c>
      <c r="G147" s="21">
        <f>IF(OR(C147="",N(D147)=0),"",C147/D147)</f>
        <v/>
      </c>
      <c r="H147" s="21">
        <f>IF(A147="","",IFERROR(INDEX(Weight!$B$2:$B$1000,MATCH(IF(_xlfn.MAXIFS(Weight!$A$2:$A$1000,Weight!$A$2:$A$1000,"&lt;="&amp;A147)&gt;0,_xlfn.MAXIFS(Weight!$A$2:$A$1000,Weight!$A$2:$A$1000,"&lt;="&amp;A147),_xlfn.MINIFS(Weight!$A$2:$A$1000,Weight!$A$2:$A$1000,"&gt;0")),Weight!$A$2:$A$1000,0)),Settings!$B$6))</f>
        <v/>
      </c>
      <c r="I147" s="21">
        <f>IF(B147="","",IFERROR(INDEX(Settings!$B$10:$B$21,MATCH(B147,Settings!$A$10:$A$21,0)),4))</f>
        <v/>
      </c>
      <c r="J147" s="22">
        <f>IF(OR(A147="",C147="",I147=""),"",I147*H147*C147/60)</f>
        <v/>
      </c>
    </row>
    <row r="148">
      <c r="A148" s="35" t="n"/>
      <c r="B148" s="33" t="n"/>
      <c r="C148" s="31" t="n"/>
      <c r="D148" s="30" t="n"/>
      <c r="E148" s="33" t="n"/>
      <c r="F148" s="20">
        <f>IF(A148="","",WEEKNUM(A148,21))</f>
        <v/>
      </c>
      <c r="G148" s="21">
        <f>IF(OR(C148="",N(D148)=0),"",C148/D148)</f>
        <v/>
      </c>
      <c r="H148" s="21">
        <f>IF(A148="","",IFERROR(INDEX(Weight!$B$2:$B$1000,MATCH(IF(_xlfn.MAXIFS(Weight!$A$2:$A$1000,Weight!$A$2:$A$1000,"&lt;="&amp;A148)&gt;0,_xlfn.MAXIFS(Weight!$A$2:$A$1000,Weight!$A$2:$A$1000,"&lt;="&amp;A148),_xlfn.MINIFS(Weight!$A$2:$A$1000,Weight!$A$2:$A$1000,"&gt;0")),Weight!$A$2:$A$1000,0)),Settings!$B$6))</f>
        <v/>
      </c>
      <c r="I148" s="21">
        <f>IF(B148="","",IFERROR(INDEX(Settings!$B$10:$B$21,MATCH(B148,Settings!$A$10:$A$21,0)),4))</f>
        <v/>
      </c>
      <c r="J148" s="22">
        <f>IF(OR(A148="",C148="",I148=""),"",I148*H148*C148/60)</f>
        <v/>
      </c>
    </row>
    <row r="149">
      <c r="A149" s="35" t="n"/>
      <c r="B149" s="33" t="n"/>
      <c r="C149" s="31" t="n"/>
      <c r="D149" s="30" t="n"/>
      <c r="E149" s="33" t="n"/>
      <c r="F149" s="20">
        <f>IF(A149="","",WEEKNUM(A149,21))</f>
        <v/>
      </c>
      <c r="G149" s="21">
        <f>IF(OR(C149="",N(D149)=0),"",C149/D149)</f>
        <v/>
      </c>
      <c r="H149" s="21">
        <f>IF(A149="","",IFERROR(INDEX(Weight!$B$2:$B$1000,MATCH(IF(_xlfn.MAXIFS(Weight!$A$2:$A$1000,Weight!$A$2:$A$1000,"&lt;="&amp;A149)&gt;0,_xlfn.MAXIFS(Weight!$A$2:$A$1000,Weight!$A$2:$A$1000,"&lt;="&amp;A149),_xlfn.MINIFS(Weight!$A$2:$A$1000,Weight!$A$2:$A$1000,"&gt;0")),Weight!$A$2:$A$1000,0)),Settings!$B$6))</f>
        <v/>
      </c>
      <c r="I149" s="21">
        <f>IF(B149="","",IFERROR(INDEX(Settings!$B$10:$B$21,MATCH(B149,Settings!$A$10:$A$21,0)),4))</f>
        <v/>
      </c>
      <c r="J149" s="22">
        <f>IF(OR(A149="",C149="",I149=""),"",I149*H149*C149/60)</f>
        <v/>
      </c>
    </row>
    <row r="150">
      <c r="A150" s="35" t="n"/>
      <c r="B150" s="33" t="n"/>
      <c r="C150" s="31" t="n"/>
      <c r="D150" s="30" t="n"/>
      <c r="E150" s="33" t="n"/>
      <c r="F150" s="20">
        <f>IF(A150="","",WEEKNUM(A150,21))</f>
        <v/>
      </c>
      <c r="G150" s="21">
        <f>IF(OR(C150="",N(D150)=0),"",C150/D150)</f>
        <v/>
      </c>
      <c r="H150" s="21">
        <f>IF(A150="","",IFERROR(INDEX(Weight!$B$2:$B$1000,MATCH(IF(_xlfn.MAXIFS(Weight!$A$2:$A$1000,Weight!$A$2:$A$1000,"&lt;="&amp;A150)&gt;0,_xlfn.MAXIFS(Weight!$A$2:$A$1000,Weight!$A$2:$A$1000,"&lt;="&amp;A150),_xlfn.MINIFS(Weight!$A$2:$A$1000,Weight!$A$2:$A$1000,"&gt;0")),Weight!$A$2:$A$1000,0)),Settings!$B$6))</f>
        <v/>
      </c>
      <c r="I150" s="21">
        <f>IF(B150="","",IFERROR(INDEX(Settings!$B$10:$B$21,MATCH(B150,Settings!$A$10:$A$21,0)),4))</f>
        <v/>
      </c>
      <c r="J150" s="22">
        <f>IF(OR(A150="",C150="",I150=""),"",I150*H150*C150/60)</f>
        <v/>
      </c>
    </row>
    <row r="151">
      <c r="A151" s="35" t="n"/>
      <c r="B151" s="33" t="n"/>
      <c r="C151" s="31" t="n"/>
      <c r="D151" s="30" t="n"/>
      <c r="E151" s="33" t="n"/>
      <c r="F151" s="20">
        <f>IF(A151="","",WEEKNUM(A151,21))</f>
        <v/>
      </c>
      <c r="G151" s="21">
        <f>IF(OR(C151="",N(D151)=0),"",C151/D151)</f>
        <v/>
      </c>
      <c r="H151" s="21">
        <f>IF(A151="","",IFERROR(INDEX(Weight!$B$2:$B$1000,MATCH(IF(_xlfn.MAXIFS(Weight!$A$2:$A$1000,Weight!$A$2:$A$1000,"&lt;="&amp;A151)&gt;0,_xlfn.MAXIFS(Weight!$A$2:$A$1000,Weight!$A$2:$A$1000,"&lt;="&amp;A151),_xlfn.MINIFS(Weight!$A$2:$A$1000,Weight!$A$2:$A$1000,"&gt;0")),Weight!$A$2:$A$1000,0)),Settings!$B$6))</f>
        <v/>
      </c>
      <c r="I151" s="21">
        <f>IF(B151="","",IFERROR(INDEX(Settings!$B$10:$B$21,MATCH(B151,Settings!$A$10:$A$21,0)),4))</f>
        <v/>
      </c>
      <c r="J151" s="22">
        <f>IF(OR(A151="",C151="",I151=""),"",I151*H151*C151/60)</f>
        <v/>
      </c>
    </row>
    <row r="152">
      <c r="A152" s="35" t="n"/>
      <c r="B152" s="33" t="n"/>
      <c r="C152" s="31" t="n"/>
      <c r="D152" s="30" t="n"/>
      <c r="E152" s="33" t="n"/>
      <c r="F152" s="20">
        <f>IF(A152="","",WEEKNUM(A152,21))</f>
        <v/>
      </c>
      <c r="G152" s="21">
        <f>IF(OR(C152="",N(D152)=0),"",C152/D152)</f>
        <v/>
      </c>
      <c r="H152" s="21">
        <f>IF(A152="","",IFERROR(INDEX(Weight!$B$2:$B$1000,MATCH(IF(_xlfn.MAXIFS(Weight!$A$2:$A$1000,Weight!$A$2:$A$1000,"&lt;="&amp;A152)&gt;0,_xlfn.MAXIFS(Weight!$A$2:$A$1000,Weight!$A$2:$A$1000,"&lt;="&amp;A152),_xlfn.MINIFS(Weight!$A$2:$A$1000,Weight!$A$2:$A$1000,"&gt;0")),Weight!$A$2:$A$1000,0)),Settings!$B$6))</f>
        <v/>
      </c>
      <c r="I152" s="21">
        <f>IF(B152="","",IFERROR(INDEX(Settings!$B$10:$B$21,MATCH(B152,Settings!$A$10:$A$21,0)),4))</f>
        <v/>
      </c>
      <c r="J152" s="22">
        <f>IF(OR(A152="",C152="",I152=""),"",I152*H152*C152/60)</f>
        <v/>
      </c>
    </row>
    <row r="153">
      <c r="A153" s="35" t="n"/>
      <c r="B153" s="33" t="n"/>
      <c r="C153" s="31" t="n"/>
      <c r="D153" s="30" t="n"/>
      <c r="E153" s="33" t="n"/>
      <c r="F153" s="20">
        <f>IF(A153="","",WEEKNUM(A153,21))</f>
        <v/>
      </c>
      <c r="G153" s="21">
        <f>IF(OR(C153="",N(D153)=0),"",C153/D153)</f>
        <v/>
      </c>
      <c r="H153" s="21">
        <f>IF(A153="","",IFERROR(INDEX(Weight!$B$2:$B$1000,MATCH(IF(_xlfn.MAXIFS(Weight!$A$2:$A$1000,Weight!$A$2:$A$1000,"&lt;="&amp;A153)&gt;0,_xlfn.MAXIFS(Weight!$A$2:$A$1000,Weight!$A$2:$A$1000,"&lt;="&amp;A153),_xlfn.MINIFS(Weight!$A$2:$A$1000,Weight!$A$2:$A$1000,"&gt;0")),Weight!$A$2:$A$1000,0)),Settings!$B$6))</f>
        <v/>
      </c>
      <c r="I153" s="21">
        <f>IF(B153="","",IFERROR(INDEX(Settings!$B$10:$B$21,MATCH(B153,Settings!$A$10:$A$21,0)),4))</f>
        <v/>
      </c>
      <c r="J153" s="22">
        <f>IF(OR(A153="",C153="",I153=""),"",I153*H153*C153/60)</f>
        <v/>
      </c>
    </row>
    <row r="154">
      <c r="A154" s="35" t="n"/>
      <c r="B154" s="33" t="n"/>
      <c r="C154" s="31" t="n"/>
      <c r="D154" s="30" t="n"/>
      <c r="E154" s="33" t="n"/>
      <c r="F154" s="20">
        <f>IF(A154="","",WEEKNUM(A154,21))</f>
        <v/>
      </c>
      <c r="G154" s="21">
        <f>IF(OR(C154="",N(D154)=0),"",C154/D154)</f>
        <v/>
      </c>
      <c r="H154" s="21">
        <f>IF(A154="","",IFERROR(INDEX(Weight!$B$2:$B$1000,MATCH(IF(_xlfn.MAXIFS(Weight!$A$2:$A$1000,Weight!$A$2:$A$1000,"&lt;="&amp;A154)&gt;0,_xlfn.MAXIFS(Weight!$A$2:$A$1000,Weight!$A$2:$A$1000,"&lt;="&amp;A154),_xlfn.MINIFS(Weight!$A$2:$A$1000,Weight!$A$2:$A$1000,"&gt;0")),Weight!$A$2:$A$1000,0)),Settings!$B$6))</f>
        <v/>
      </c>
      <c r="I154" s="21">
        <f>IF(B154="","",IFERROR(INDEX(Settings!$B$10:$B$21,MATCH(B154,Settings!$A$10:$A$21,0)),4))</f>
        <v/>
      </c>
      <c r="J154" s="22">
        <f>IF(OR(A154="",C154="",I154=""),"",I154*H154*C154/60)</f>
        <v/>
      </c>
    </row>
    <row r="155">
      <c r="A155" s="35" t="n"/>
      <c r="B155" s="33" t="n"/>
      <c r="C155" s="31" t="n"/>
      <c r="D155" s="30" t="n"/>
      <c r="E155" s="33" t="n"/>
      <c r="F155" s="20">
        <f>IF(A155="","",WEEKNUM(A155,21))</f>
        <v/>
      </c>
      <c r="G155" s="21">
        <f>IF(OR(C155="",N(D155)=0),"",C155/D155)</f>
        <v/>
      </c>
      <c r="H155" s="21">
        <f>IF(A155="","",IFERROR(INDEX(Weight!$B$2:$B$1000,MATCH(IF(_xlfn.MAXIFS(Weight!$A$2:$A$1000,Weight!$A$2:$A$1000,"&lt;="&amp;A155)&gt;0,_xlfn.MAXIFS(Weight!$A$2:$A$1000,Weight!$A$2:$A$1000,"&lt;="&amp;A155),_xlfn.MINIFS(Weight!$A$2:$A$1000,Weight!$A$2:$A$1000,"&gt;0")),Weight!$A$2:$A$1000,0)),Settings!$B$6))</f>
        <v/>
      </c>
      <c r="I155" s="21">
        <f>IF(B155="","",IFERROR(INDEX(Settings!$B$10:$B$21,MATCH(B155,Settings!$A$10:$A$21,0)),4))</f>
        <v/>
      </c>
      <c r="J155" s="22">
        <f>IF(OR(A155="",C155="",I155=""),"",I155*H155*C155/60)</f>
        <v/>
      </c>
    </row>
    <row r="156">
      <c r="A156" s="35" t="n"/>
      <c r="B156" s="33" t="n"/>
      <c r="C156" s="31" t="n"/>
      <c r="D156" s="30" t="n"/>
      <c r="E156" s="33" t="n"/>
      <c r="F156" s="20">
        <f>IF(A156="","",WEEKNUM(A156,21))</f>
        <v/>
      </c>
      <c r="G156" s="21">
        <f>IF(OR(C156="",N(D156)=0),"",C156/D156)</f>
        <v/>
      </c>
      <c r="H156" s="21">
        <f>IF(A156="","",IFERROR(INDEX(Weight!$B$2:$B$1000,MATCH(IF(_xlfn.MAXIFS(Weight!$A$2:$A$1000,Weight!$A$2:$A$1000,"&lt;="&amp;A156)&gt;0,_xlfn.MAXIFS(Weight!$A$2:$A$1000,Weight!$A$2:$A$1000,"&lt;="&amp;A156),_xlfn.MINIFS(Weight!$A$2:$A$1000,Weight!$A$2:$A$1000,"&gt;0")),Weight!$A$2:$A$1000,0)),Settings!$B$6))</f>
        <v/>
      </c>
      <c r="I156" s="21">
        <f>IF(B156="","",IFERROR(INDEX(Settings!$B$10:$B$21,MATCH(B156,Settings!$A$10:$A$21,0)),4))</f>
        <v/>
      </c>
      <c r="J156" s="22">
        <f>IF(OR(A156="",C156="",I156=""),"",I156*H156*C156/60)</f>
        <v/>
      </c>
    </row>
    <row r="157">
      <c r="A157" s="35" t="n"/>
      <c r="B157" s="33" t="n"/>
      <c r="C157" s="31" t="n"/>
      <c r="D157" s="30" t="n"/>
      <c r="E157" s="33" t="n"/>
      <c r="F157" s="20">
        <f>IF(A157="","",WEEKNUM(A157,21))</f>
        <v/>
      </c>
      <c r="G157" s="21">
        <f>IF(OR(C157="",N(D157)=0),"",C157/D157)</f>
        <v/>
      </c>
      <c r="H157" s="21">
        <f>IF(A157="","",IFERROR(INDEX(Weight!$B$2:$B$1000,MATCH(IF(_xlfn.MAXIFS(Weight!$A$2:$A$1000,Weight!$A$2:$A$1000,"&lt;="&amp;A157)&gt;0,_xlfn.MAXIFS(Weight!$A$2:$A$1000,Weight!$A$2:$A$1000,"&lt;="&amp;A157),_xlfn.MINIFS(Weight!$A$2:$A$1000,Weight!$A$2:$A$1000,"&gt;0")),Weight!$A$2:$A$1000,0)),Settings!$B$6))</f>
        <v/>
      </c>
      <c r="I157" s="21">
        <f>IF(B157="","",IFERROR(INDEX(Settings!$B$10:$B$21,MATCH(B157,Settings!$A$10:$A$21,0)),4))</f>
        <v/>
      </c>
      <c r="J157" s="22">
        <f>IF(OR(A157="",C157="",I157=""),"",I157*H157*C157/60)</f>
        <v/>
      </c>
    </row>
    <row r="158">
      <c r="A158" s="35" t="n"/>
      <c r="B158" s="33" t="n"/>
      <c r="C158" s="31" t="n"/>
      <c r="D158" s="30" t="n"/>
      <c r="E158" s="33" t="n"/>
      <c r="F158" s="20">
        <f>IF(A158="","",WEEKNUM(A158,21))</f>
        <v/>
      </c>
      <c r="G158" s="21">
        <f>IF(OR(C158="",N(D158)=0),"",C158/D158)</f>
        <v/>
      </c>
      <c r="H158" s="21">
        <f>IF(A158="","",IFERROR(INDEX(Weight!$B$2:$B$1000,MATCH(IF(_xlfn.MAXIFS(Weight!$A$2:$A$1000,Weight!$A$2:$A$1000,"&lt;="&amp;A158)&gt;0,_xlfn.MAXIFS(Weight!$A$2:$A$1000,Weight!$A$2:$A$1000,"&lt;="&amp;A158),_xlfn.MINIFS(Weight!$A$2:$A$1000,Weight!$A$2:$A$1000,"&gt;0")),Weight!$A$2:$A$1000,0)),Settings!$B$6))</f>
        <v/>
      </c>
      <c r="I158" s="21">
        <f>IF(B158="","",IFERROR(INDEX(Settings!$B$10:$B$21,MATCH(B158,Settings!$A$10:$A$21,0)),4))</f>
        <v/>
      </c>
      <c r="J158" s="22">
        <f>IF(OR(A158="",C158="",I158=""),"",I158*H158*C158/60)</f>
        <v/>
      </c>
    </row>
    <row r="159">
      <c r="A159" s="35" t="n"/>
      <c r="B159" s="33" t="n"/>
      <c r="C159" s="31" t="n"/>
      <c r="D159" s="30" t="n"/>
      <c r="E159" s="33" t="n"/>
      <c r="F159" s="20">
        <f>IF(A159="","",WEEKNUM(A159,21))</f>
        <v/>
      </c>
      <c r="G159" s="21">
        <f>IF(OR(C159="",N(D159)=0),"",C159/D159)</f>
        <v/>
      </c>
      <c r="H159" s="21">
        <f>IF(A159="","",IFERROR(INDEX(Weight!$B$2:$B$1000,MATCH(IF(_xlfn.MAXIFS(Weight!$A$2:$A$1000,Weight!$A$2:$A$1000,"&lt;="&amp;A159)&gt;0,_xlfn.MAXIFS(Weight!$A$2:$A$1000,Weight!$A$2:$A$1000,"&lt;="&amp;A159),_xlfn.MINIFS(Weight!$A$2:$A$1000,Weight!$A$2:$A$1000,"&gt;0")),Weight!$A$2:$A$1000,0)),Settings!$B$6))</f>
        <v/>
      </c>
      <c r="I159" s="21">
        <f>IF(B159="","",IFERROR(INDEX(Settings!$B$10:$B$21,MATCH(B159,Settings!$A$10:$A$21,0)),4))</f>
        <v/>
      </c>
      <c r="J159" s="22">
        <f>IF(OR(A159="",C159="",I159=""),"",I159*H159*C159/60)</f>
        <v/>
      </c>
    </row>
    <row r="160">
      <c r="A160" s="35" t="n"/>
      <c r="B160" s="33" t="n"/>
      <c r="C160" s="31" t="n"/>
      <c r="D160" s="30" t="n"/>
      <c r="E160" s="33" t="n"/>
      <c r="F160" s="20">
        <f>IF(A160="","",WEEKNUM(A160,21))</f>
        <v/>
      </c>
      <c r="G160" s="21">
        <f>IF(OR(C160="",N(D160)=0),"",C160/D160)</f>
        <v/>
      </c>
      <c r="H160" s="21">
        <f>IF(A160="","",IFERROR(INDEX(Weight!$B$2:$B$1000,MATCH(IF(_xlfn.MAXIFS(Weight!$A$2:$A$1000,Weight!$A$2:$A$1000,"&lt;="&amp;A160)&gt;0,_xlfn.MAXIFS(Weight!$A$2:$A$1000,Weight!$A$2:$A$1000,"&lt;="&amp;A160),_xlfn.MINIFS(Weight!$A$2:$A$1000,Weight!$A$2:$A$1000,"&gt;0")),Weight!$A$2:$A$1000,0)),Settings!$B$6))</f>
        <v/>
      </c>
      <c r="I160" s="21">
        <f>IF(B160="","",IFERROR(INDEX(Settings!$B$10:$B$21,MATCH(B160,Settings!$A$10:$A$21,0)),4))</f>
        <v/>
      </c>
      <c r="J160" s="22">
        <f>IF(OR(A160="",C160="",I160=""),"",I160*H160*C160/60)</f>
        <v/>
      </c>
    </row>
    <row r="161">
      <c r="A161" s="35" t="n"/>
      <c r="B161" s="33" t="n"/>
      <c r="C161" s="31" t="n"/>
      <c r="D161" s="30" t="n"/>
      <c r="E161" s="33" t="n"/>
      <c r="F161" s="20">
        <f>IF(A161="","",WEEKNUM(A161,21))</f>
        <v/>
      </c>
      <c r="G161" s="21">
        <f>IF(OR(C161="",N(D161)=0),"",C161/D161)</f>
        <v/>
      </c>
      <c r="H161" s="21">
        <f>IF(A161="","",IFERROR(INDEX(Weight!$B$2:$B$1000,MATCH(IF(_xlfn.MAXIFS(Weight!$A$2:$A$1000,Weight!$A$2:$A$1000,"&lt;="&amp;A161)&gt;0,_xlfn.MAXIFS(Weight!$A$2:$A$1000,Weight!$A$2:$A$1000,"&lt;="&amp;A161),_xlfn.MINIFS(Weight!$A$2:$A$1000,Weight!$A$2:$A$1000,"&gt;0")),Weight!$A$2:$A$1000,0)),Settings!$B$6))</f>
        <v/>
      </c>
      <c r="I161" s="21">
        <f>IF(B161="","",IFERROR(INDEX(Settings!$B$10:$B$21,MATCH(B161,Settings!$A$10:$A$21,0)),4))</f>
        <v/>
      </c>
      <c r="J161" s="22">
        <f>IF(OR(A161="",C161="",I161=""),"",I161*H161*C161/60)</f>
        <v/>
      </c>
    </row>
    <row r="162">
      <c r="A162" s="35" t="n"/>
      <c r="B162" s="33" t="n"/>
      <c r="C162" s="31" t="n"/>
      <c r="D162" s="30" t="n"/>
      <c r="E162" s="33" t="n"/>
      <c r="F162" s="20">
        <f>IF(A162="","",WEEKNUM(A162,21))</f>
        <v/>
      </c>
      <c r="G162" s="21">
        <f>IF(OR(C162="",N(D162)=0),"",C162/D162)</f>
        <v/>
      </c>
      <c r="H162" s="21">
        <f>IF(A162="","",IFERROR(INDEX(Weight!$B$2:$B$1000,MATCH(IF(_xlfn.MAXIFS(Weight!$A$2:$A$1000,Weight!$A$2:$A$1000,"&lt;="&amp;A162)&gt;0,_xlfn.MAXIFS(Weight!$A$2:$A$1000,Weight!$A$2:$A$1000,"&lt;="&amp;A162),_xlfn.MINIFS(Weight!$A$2:$A$1000,Weight!$A$2:$A$1000,"&gt;0")),Weight!$A$2:$A$1000,0)),Settings!$B$6))</f>
        <v/>
      </c>
      <c r="I162" s="21">
        <f>IF(B162="","",IFERROR(INDEX(Settings!$B$10:$B$21,MATCH(B162,Settings!$A$10:$A$21,0)),4))</f>
        <v/>
      </c>
      <c r="J162" s="22">
        <f>IF(OR(A162="",C162="",I162=""),"",I162*H162*C162/60)</f>
        <v/>
      </c>
    </row>
    <row r="163">
      <c r="A163" s="35" t="n"/>
      <c r="B163" s="33" t="n"/>
      <c r="C163" s="31" t="n"/>
      <c r="D163" s="30" t="n"/>
      <c r="E163" s="33" t="n"/>
      <c r="F163" s="20">
        <f>IF(A163="","",WEEKNUM(A163,21))</f>
        <v/>
      </c>
      <c r="G163" s="21">
        <f>IF(OR(C163="",N(D163)=0),"",C163/D163)</f>
        <v/>
      </c>
      <c r="H163" s="21">
        <f>IF(A163="","",IFERROR(INDEX(Weight!$B$2:$B$1000,MATCH(IF(_xlfn.MAXIFS(Weight!$A$2:$A$1000,Weight!$A$2:$A$1000,"&lt;="&amp;A163)&gt;0,_xlfn.MAXIFS(Weight!$A$2:$A$1000,Weight!$A$2:$A$1000,"&lt;="&amp;A163),_xlfn.MINIFS(Weight!$A$2:$A$1000,Weight!$A$2:$A$1000,"&gt;0")),Weight!$A$2:$A$1000,0)),Settings!$B$6))</f>
        <v/>
      </c>
      <c r="I163" s="21">
        <f>IF(B163="","",IFERROR(INDEX(Settings!$B$10:$B$21,MATCH(B163,Settings!$A$10:$A$21,0)),4))</f>
        <v/>
      </c>
      <c r="J163" s="22">
        <f>IF(OR(A163="",C163="",I163=""),"",I163*H163*C163/60)</f>
        <v/>
      </c>
    </row>
    <row r="164">
      <c r="A164" s="35" t="n"/>
      <c r="B164" s="33" t="n"/>
      <c r="C164" s="31" t="n"/>
      <c r="D164" s="30" t="n"/>
      <c r="E164" s="33" t="n"/>
      <c r="F164" s="20">
        <f>IF(A164="","",WEEKNUM(A164,21))</f>
        <v/>
      </c>
      <c r="G164" s="21">
        <f>IF(OR(C164="",N(D164)=0),"",C164/D164)</f>
        <v/>
      </c>
      <c r="H164" s="21">
        <f>IF(A164="","",IFERROR(INDEX(Weight!$B$2:$B$1000,MATCH(IF(_xlfn.MAXIFS(Weight!$A$2:$A$1000,Weight!$A$2:$A$1000,"&lt;="&amp;A164)&gt;0,_xlfn.MAXIFS(Weight!$A$2:$A$1000,Weight!$A$2:$A$1000,"&lt;="&amp;A164),_xlfn.MINIFS(Weight!$A$2:$A$1000,Weight!$A$2:$A$1000,"&gt;0")),Weight!$A$2:$A$1000,0)),Settings!$B$6))</f>
        <v/>
      </c>
      <c r="I164" s="21">
        <f>IF(B164="","",IFERROR(INDEX(Settings!$B$10:$B$21,MATCH(B164,Settings!$A$10:$A$21,0)),4))</f>
        <v/>
      </c>
      <c r="J164" s="22">
        <f>IF(OR(A164="",C164="",I164=""),"",I164*H164*C164/60)</f>
        <v/>
      </c>
    </row>
    <row r="165">
      <c r="A165" s="35" t="n"/>
      <c r="B165" s="33" t="n"/>
      <c r="C165" s="31" t="n"/>
      <c r="D165" s="30" t="n"/>
      <c r="E165" s="33" t="n"/>
      <c r="F165" s="20">
        <f>IF(A165="","",WEEKNUM(A165,21))</f>
        <v/>
      </c>
      <c r="G165" s="21">
        <f>IF(OR(C165="",N(D165)=0),"",C165/D165)</f>
        <v/>
      </c>
      <c r="H165" s="21">
        <f>IF(A165="","",IFERROR(INDEX(Weight!$B$2:$B$1000,MATCH(IF(_xlfn.MAXIFS(Weight!$A$2:$A$1000,Weight!$A$2:$A$1000,"&lt;="&amp;A165)&gt;0,_xlfn.MAXIFS(Weight!$A$2:$A$1000,Weight!$A$2:$A$1000,"&lt;="&amp;A165),_xlfn.MINIFS(Weight!$A$2:$A$1000,Weight!$A$2:$A$1000,"&gt;0")),Weight!$A$2:$A$1000,0)),Settings!$B$6))</f>
        <v/>
      </c>
      <c r="I165" s="21">
        <f>IF(B165="","",IFERROR(INDEX(Settings!$B$10:$B$21,MATCH(B165,Settings!$A$10:$A$21,0)),4))</f>
        <v/>
      </c>
      <c r="J165" s="22">
        <f>IF(OR(A165="",C165="",I165=""),"",I165*H165*C165/60)</f>
        <v/>
      </c>
    </row>
    <row r="166">
      <c r="A166" s="35" t="n"/>
      <c r="B166" s="33" t="n"/>
      <c r="C166" s="31" t="n"/>
      <c r="D166" s="30" t="n"/>
      <c r="E166" s="33" t="n"/>
      <c r="F166" s="20">
        <f>IF(A166="","",WEEKNUM(A166,21))</f>
        <v/>
      </c>
      <c r="G166" s="21">
        <f>IF(OR(C166="",N(D166)=0),"",C166/D166)</f>
        <v/>
      </c>
      <c r="H166" s="21">
        <f>IF(A166="","",IFERROR(INDEX(Weight!$B$2:$B$1000,MATCH(IF(_xlfn.MAXIFS(Weight!$A$2:$A$1000,Weight!$A$2:$A$1000,"&lt;="&amp;A166)&gt;0,_xlfn.MAXIFS(Weight!$A$2:$A$1000,Weight!$A$2:$A$1000,"&lt;="&amp;A166),_xlfn.MINIFS(Weight!$A$2:$A$1000,Weight!$A$2:$A$1000,"&gt;0")),Weight!$A$2:$A$1000,0)),Settings!$B$6))</f>
        <v/>
      </c>
      <c r="I166" s="21">
        <f>IF(B166="","",IFERROR(INDEX(Settings!$B$10:$B$21,MATCH(B166,Settings!$A$10:$A$21,0)),4))</f>
        <v/>
      </c>
      <c r="J166" s="22">
        <f>IF(OR(A166="",C166="",I166=""),"",I166*H166*C166/60)</f>
        <v/>
      </c>
    </row>
    <row r="167">
      <c r="A167" s="35" t="n"/>
      <c r="B167" s="33" t="n"/>
      <c r="C167" s="31" t="n"/>
      <c r="D167" s="30" t="n"/>
      <c r="E167" s="33" t="n"/>
      <c r="F167" s="20">
        <f>IF(A167="","",WEEKNUM(A167,21))</f>
        <v/>
      </c>
      <c r="G167" s="21">
        <f>IF(OR(C167="",N(D167)=0),"",C167/D167)</f>
        <v/>
      </c>
      <c r="H167" s="21">
        <f>IF(A167="","",IFERROR(INDEX(Weight!$B$2:$B$1000,MATCH(IF(_xlfn.MAXIFS(Weight!$A$2:$A$1000,Weight!$A$2:$A$1000,"&lt;="&amp;A167)&gt;0,_xlfn.MAXIFS(Weight!$A$2:$A$1000,Weight!$A$2:$A$1000,"&lt;="&amp;A167),_xlfn.MINIFS(Weight!$A$2:$A$1000,Weight!$A$2:$A$1000,"&gt;0")),Weight!$A$2:$A$1000,0)),Settings!$B$6))</f>
        <v/>
      </c>
      <c r="I167" s="21">
        <f>IF(B167="","",IFERROR(INDEX(Settings!$B$10:$B$21,MATCH(B167,Settings!$A$10:$A$21,0)),4))</f>
        <v/>
      </c>
      <c r="J167" s="22">
        <f>IF(OR(A167="",C167="",I167=""),"",I167*H167*C167/60)</f>
        <v/>
      </c>
    </row>
    <row r="168">
      <c r="A168" s="35" t="n"/>
      <c r="B168" s="33" t="n"/>
      <c r="C168" s="31" t="n"/>
      <c r="D168" s="30" t="n"/>
      <c r="E168" s="33" t="n"/>
      <c r="F168" s="20">
        <f>IF(A168="","",WEEKNUM(A168,21))</f>
        <v/>
      </c>
      <c r="G168" s="21">
        <f>IF(OR(C168="",N(D168)=0),"",C168/D168)</f>
        <v/>
      </c>
      <c r="H168" s="21">
        <f>IF(A168="","",IFERROR(INDEX(Weight!$B$2:$B$1000,MATCH(IF(_xlfn.MAXIFS(Weight!$A$2:$A$1000,Weight!$A$2:$A$1000,"&lt;="&amp;A168)&gt;0,_xlfn.MAXIFS(Weight!$A$2:$A$1000,Weight!$A$2:$A$1000,"&lt;="&amp;A168),_xlfn.MINIFS(Weight!$A$2:$A$1000,Weight!$A$2:$A$1000,"&gt;0")),Weight!$A$2:$A$1000,0)),Settings!$B$6))</f>
        <v/>
      </c>
      <c r="I168" s="21">
        <f>IF(B168="","",IFERROR(INDEX(Settings!$B$10:$B$21,MATCH(B168,Settings!$A$10:$A$21,0)),4))</f>
        <v/>
      </c>
      <c r="J168" s="22">
        <f>IF(OR(A168="",C168="",I168=""),"",I168*H168*C168/60)</f>
        <v/>
      </c>
    </row>
    <row r="169">
      <c r="A169" s="35" t="n"/>
      <c r="B169" s="33" t="n"/>
      <c r="C169" s="31" t="n"/>
      <c r="D169" s="30" t="n"/>
      <c r="E169" s="33" t="n"/>
      <c r="F169" s="20">
        <f>IF(A169="","",WEEKNUM(A169,21))</f>
        <v/>
      </c>
      <c r="G169" s="21">
        <f>IF(OR(C169="",N(D169)=0),"",C169/D169)</f>
        <v/>
      </c>
      <c r="H169" s="21">
        <f>IF(A169="","",IFERROR(INDEX(Weight!$B$2:$B$1000,MATCH(IF(_xlfn.MAXIFS(Weight!$A$2:$A$1000,Weight!$A$2:$A$1000,"&lt;="&amp;A169)&gt;0,_xlfn.MAXIFS(Weight!$A$2:$A$1000,Weight!$A$2:$A$1000,"&lt;="&amp;A169),_xlfn.MINIFS(Weight!$A$2:$A$1000,Weight!$A$2:$A$1000,"&gt;0")),Weight!$A$2:$A$1000,0)),Settings!$B$6))</f>
        <v/>
      </c>
      <c r="I169" s="21">
        <f>IF(B169="","",IFERROR(INDEX(Settings!$B$10:$B$21,MATCH(B169,Settings!$A$10:$A$21,0)),4))</f>
        <v/>
      </c>
      <c r="J169" s="22">
        <f>IF(OR(A169="",C169="",I169=""),"",I169*H169*C169/60)</f>
        <v/>
      </c>
    </row>
    <row r="170">
      <c r="A170" s="35" t="n"/>
      <c r="B170" s="33" t="n"/>
      <c r="C170" s="31" t="n"/>
      <c r="D170" s="30" t="n"/>
      <c r="E170" s="33" t="n"/>
      <c r="F170" s="20">
        <f>IF(A170="","",WEEKNUM(A170,21))</f>
        <v/>
      </c>
      <c r="G170" s="21">
        <f>IF(OR(C170="",N(D170)=0),"",C170/D170)</f>
        <v/>
      </c>
      <c r="H170" s="21">
        <f>IF(A170="","",IFERROR(INDEX(Weight!$B$2:$B$1000,MATCH(IF(_xlfn.MAXIFS(Weight!$A$2:$A$1000,Weight!$A$2:$A$1000,"&lt;="&amp;A170)&gt;0,_xlfn.MAXIFS(Weight!$A$2:$A$1000,Weight!$A$2:$A$1000,"&lt;="&amp;A170),_xlfn.MINIFS(Weight!$A$2:$A$1000,Weight!$A$2:$A$1000,"&gt;0")),Weight!$A$2:$A$1000,0)),Settings!$B$6))</f>
        <v/>
      </c>
      <c r="I170" s="21">
        <f>IF(B170="","",IFERROR(INDEX(Settings!$B$10:$B$21,MATCH(B170,Settings!$A$10:$A$21,0)),4))</f>
        <v/>
      </c>
      <c r="J170" s="22">
        <f>IF(OR(A170="",C170="",I170=""),"",I170*H170*C170/60)</f>
        <v/>
      </c>
    </row>
    <row r="171">
      <c r="A171" s="35" t="n"/>
      <c r="B171" s="33" t="n"/>
      <c r="C171" s="31" t="n"/>
      <c r="D171" s="30" t="n"/>
      <c r="E171" s="33" t="n"/>
      <c r="F171" s="20">
        <f>IF(A171="","",WEEKNUM(A171,21))</f>
        <v/>
      </c>
      <c r="G171" s="21">
        <f>IF(OR(C171="",N(D171)=0),"",C171/D171)</f>
        <v/>
      </c>
      <c r="H171" s="21">
        <f>IF(A171="","",IFERROR(INDEX(Weight!$B$2:$B$1000,MATCH(IF(_xlfn.MAXIFS(Weight!$A$2:$A$1000,Weight!$A$2:$A$1000,"&lt;="&amp;A171)&gt;0,_xlfn.MAXIFS(Weight!$A$2:$A$1000,Weight!$A$2:$A$1000,"&lt;="&amp;A171),_xlfn.MINIFS(Weight!$A$2:$A$1000,Weight!$A$2:$A$1000,"&gt;0")),Weight!$A$2:$A$1000,0)),Settings!$B$6))</f>
        <v/>
      </c>
      <c r="I171" s="21">
        <f>IF(B171="","",IFERROR(INDEX(Settings!$B$10:$B$21,MATCH(B171,Settings!$A$10:$A$21,0)),4))</f>
        <v/>
      </c>
      <c r="J171" s="22">
        <f>IF(OR(A171="",C171="",I171=""),"",I171*H171*C171/60)</f>
        <v/>
      </c>
    </row>
    <row r="172">
      <c r="A172" s="35" t="n"/>
      <c r="B172" s="33" t="n"/>
      <c r="C172" s="31" t="n"/>
      <c r="D172" s="30" t="n"/>
      <c r="E172" s="33" t="n"/>
      <c r="F172" s="20">
        <f>IF(A172="","",WEEKNUM(A172,21))</f>
        <v/>
      </c>
      <c r="G172" s="21">
        <f>IF(OR(C172="",N(D172)=0),"",C172/D172)</f>
        <v/>
      </c>
      <c r="H172" s="21">
        <f>IF(A172="","",IFERROR(INDEX(Weight!$B$2:$B$1000,MATCH(IF(_xlfn.MAXIFS(Weight!$A$2:$A$1000,Weight!$A$2:$A$1000,"&lt;="&amp;A172)&gt;0,_xlfn.MAXIFS(Weight!$A$2:$A$1000,Weight!$A$2:$A$1000,"&lt;="&amp;A172),_xlfn.MINIFS(Weight!$A$2:$A$1000,Weight!$A$2:$A$1000,"&gt;0")),Weight!$A$2:$A$1000,0)),Settings!$B$6))</f>
        <v/>
      </c>
      <c r="I172" s="21">
        <f>IF(B172="","",IFERROR(INDEX(Settings!$B$10:$B$21,MATCH(B172,Settings!$A$10:$A$21,0)),4))</f>
        <v/>
      </c>
      <c r="J172" s="22">
        <f>IF(OR(A172="",C172="",I172=""),"",I172*H172*C172/60)</f>
        <v/>
      </c>
    </row>
    <row r="173">
      <c r="A173" s="35" t="n"/>
      <c r="B173" s="33" t="n"/>
      <c r="C173" s="31" t="n"/>
      <c r="D173" s="30" t="n"/>
      <c r="E173" s="33" t="n"/>
      <c r="F173" s="20">
        <f>IF(A173="","",WEEKNUM(A173,21))</f>
        <v/>
      </c>
      <c r="G173" s="21">
        <f>IF(OR(C173="",N(D173)=0),"",C173/D173)</f>
        <v/>
      </c>
      <c r="H173" s="21">
        <f>IF(A173="","",IFERROR(INDEX(Weight!$B$2:$B$1000,MATCH(IF(_xlfn.MAXIFS(Weight!$A$2:$A$1000,Weight!$A$2:$A$1000,"&lt;="&amp;A173)&gt;0,_xlfn.MAXIFS(Weight!$A$2:$A$1000,Weight!$A$2:$A$1000,"&lt;="&amp;A173),_xlfn.MINIFS(Weight!$A$2:$A$1000,Weight!$A$2:$A$1000,"&gt;0")),Weight!$A$2:$A$1000,0)),Settings!$B$6))</f>
        <v/>
      </c>
      <c r="I173" s="21">
        <f>IF(B173="","",IFERROR(INDEX(Settings!$B$10:$B$21,MATCH(B173,Settings!$A$10:$A$21,0)),4))</f>
        <v/>
      </c>
      <c r="J173" s="22">
        <f>IF(OR(A173="",C173="",I173=""),"",I173*H173*C173/60)</f>
        <v/>
      </c>
    </row>
    <row r="174">
      <c r="A174" s="35" t="n"/>
      <c r="B174" s="33" t="n"/>
      <c r="C174" s="31" t="n"/>
      <c r="D174" s="30" t="n"/>
      <c r="E174" s="33" t="n"/>
      <c r="F174" s="20">
        <f>IF(A174="","",WEEKNUM(A174,21))</f>
        <v/>
      </c>
      <c r="G174" s="21">
        <f>IF(OR(C174="",N(D174)=0),"",C174/D174)</f>
        <v/>
      </c>
      <c r="H174" s="21">
        <f>IF(A174="","",IFERROR(INDEX(Weight!$B$2:$B$1000,MATCH(IF(_xlfn.MAXIFS(Weight!$A$2:$A$1000,Weight!$A$2:$A$1000,"&lt;="&amp;A174)&gt;0,_xlfn.MAXIFS(Weight!$A$2:$A$1000,Weight!$A$2:$A$1000,"&lt;="&amp;A174),_xlfn.MINIFS(Weight!$A$2:$A$1000,Weight!$A$2:$A$1000,"&gt;0")),Weight!$A$2:$A$1000,0)),Settings!$B$6))</f>
        <v/>
      </c>
      <c r="I174" s="21">
        <f>IF(B174="","",IFERROR(INDEX(Settings!$B$10:$B$21,MATCH(B174,Settings!$A$10:$A$21,0)),4))</f>
        <v/>
      </c>
      <c r="J174" s="22">
        <f>IF(OR(A174="",C174="",I174=""),"",I174*H174*C174/60)</f>
        <v/>
      </c>
    </row>
    <row r="175">
      <c r="A175" s="35" t="n"/>
      <c r="B175" s="33" t="n"/>
      <c r="C175" s="31" t="n"/>
      <c r="D175" s="30" t="n"/>
      <c r="E175" s="33" t="n"/>
      <c r="F175" s="20">
        <f>IF(A175="","",WEEKNUM(A175,21))</f>
        <v/>
      </c>
      <c r="G175" s="21">
        <f>IF(OR(C175="",N(D175)=0),"",C175/D175)</f>
        <v/>
      </c>
      <c r="H175" s="21">
        <f>IF(A175="","",IFERROR(INDEX(Weight!$B$2:$B$1000,MATCH(IF(_xlfn.MAXIFS(Weight!$A$2:$A$1000,Weight!$A$2:$A$1000,"&lt;="&amp;A175)&gt;0,_xlfn.MAXIFS(Weight!$A$2:$A$1000,Weight!$A$2:$A$1000,"&lt;="&amp;A175),_xlfn.MINIFS(Weight!$A$2:$A$1000,Weight!$A$2:$A$1000,"&gt;0")),Weight!$A$2:$A$1000,0)),Settings!$B$6))</f>
        <v/>
      </c>
      <c r="I175" s="21">
        <f>IF(B175="","",IFERROR(INDEX(Settings!$B$10:$B$21,MATCH(B175,Settings!$A$10:$A$21,0)),4))</f>
        <v/>
      </c>
      <c r="J175" s="22">
        <f>IF(OR(A175="",C175="",I175=""),"",I175*H175*C175/60)</f>
        <v/>
      </c>
    </row>
    <row r="176">
      <c r="A176" s="35" t="n"/>
      <c r="B176" s="33" t="n"/>
      <c r="C176" s="31" t="n"/>
      <c r="D176" s="30" t="n"/>
      <c r="E176" s="33" t="n"/>
      <c r="F176" s="20">
        <f>IF(A176="","",WEEKNUM(A176,21))</f>
        <v/>
      </c>
      <c r="G176" s="21">
        <f>IF(OR(C176="",N(D176)=0),"",C176/D176)</f>
        <v/>
      </c>
      <c r="H176" s="21">
        <f>IF(A176="","",IFERROR(INDEX(Weight!$B$2:$B$1000,MATCH(IF(_xlfn.MAXIFS(Weight!$A$2:$A$1000,Weight!$A$2:$A$1000,"&lt;="&amp;A176)&gt;0,_xlfn.MAXIFS(Weight!$A$2:$A$1000,Weight!$A$2:$A$1000,"&lt;="&amp;A176),_xlfn.MINIFS(Weight!$A$2:$A$1000,Weight!$A$2:$A$1000,"&gt;0")),Weight!$A$2:$A$1000,0)),Settings!$B$6))</f>
        <v/>
      </c>
      <c r="I176" s="21">
        <f>IF(B176="","",IFERROR(INDEX(Settings!$B$10:$B$21,MATCH(B176,Settings!$A$10:$A$21,0)),4))</f>
        <v/>
      </c>
      <c r="J176" s="22">
        <f>IF(OR(A176="",C176="",I176=""),"",I176*H176*C176/60)</f>
        <v/>
      </c>
    </row>
    <row r="177">
      <c r="A177" s="35" t="n"/>
      <c r="B177" s="33" t="n"/>
      <c r="C177" s="31" t="n"/>
      <c r="D177" s="30" t="n"/>
      <c r="E177" s="33" t="n"/>
      <c r="F177" s="20">
        <f>IF(A177="","",WEEKNUM(A177,21))</f>
        <v/>
      </c>
      <c r="G177" s="21">
        <f>IF(OR(C177="",N(D177)=0),"",C177/D177)</f>
        <v/>
      </c>
      <c r="H177" s="21">
        <f>IF(A177="","",IFERROR(INDEX(Weight!$B$2:$B$1000,MATCH(IF(_xlfn.MAXIFS(Weight!$A$2:$A$1000,Weight!$A$2:$A$1000,"&lt;="&amp;A177)&gt;0,_xlfn.MAXIFS(Weight!$A$2:$A$1000,Weight!$A$2:$A$1000,"&lt;="&amp;A177),_xlfn.MINIFS(Weight!$A$2:$A$1000,Weight!$A$2:$A$1000,"&gt;0")),Weight!$A$2:$A$1000,0)),Settings!$B$6))</f>
        <v/>
      </c>
      <c r="I177" s="21">
        <f>IF(B177="","",IFERROR(INDEX(Settings!$B$10:$B$21,MATCH(B177,Settings!$A$10:$A$21,0)),4))</f>
        <v/>
      </c>
      <c r="J177" s="22">
        <f>IF(OR(A177="",C177="",I177=""),"",I177*H177*C177/60)</f>
        <v/>
      </c>
    </row>
    <row r="178">
      <c r="A178" s="35" t="n"/>
      <c r="B178" s="33" t="n"/>
      <c r="C178" s="31" t="n"/>
      <c r="D178" s="30" t="n"/>
      <c r="E178" s="33" t="n"/>
      <c r="F178" s="20">
        <f>IF(A178="","",WEEKNUM(A178,21))</f>
        <v/>
      </c>
      <c r="G178" s="21">
        <f>IF(OR(C178="",N(D178)=0),"",C178/D178)</f>
        <v/>
      </c>
      <c r="H178" s="21">
        <f>IF(A178="","",IFERROR(INDEX(Weight!$B$2:$B$1000,MATCH(IF(_xlfn.MAXIFS(Weight!$A$2:$A$1000,Weight!$A$2:$A$1000,"&lt;="&amp;A178)&gt;0,_xlfn.MAXIFS(Weight!$A$2:$A$1000,Weight!$A$2:$A$1000,"&lt;="&amp;A178),_xlfn.MINIFS(Weight!$A$2:$A$1000,Weight!$A$2:$A$1000,"&gt;0")),Weight!$A$2:$A$1000,0)),Settings!$B$6))</f>
        <v/>
      </c>
      <c r="I178" s="21">
        <f>IF(B178="","",IFERROR(INDEX(Settings!$B$10:$B$21,MATCH(B178,Settings!$A$10:$A$21,0)),4))</f>
        <v/>
      </c>
      <c r="J178" s="22">
        <f>IF(OR(A178="",C178="",I178=""),"",I178*H178*C178/60)</f>
        <v/>
      </c>
    </row>
    <row r="179">
      <c r="A179" s="35" t="n"/>
      <c r="B179" s="33" t="n"/>
      <c r="C179" s="31" t="n"/>
      <c r="D179" s="30" t="n"/>
      <c r="E179" s="33" t="n"/>
      <c r="F179" s="20">
        <f>IF(A179="","",WEEKNUM(A179,21))</f>
        <v/>
      </c>
      <c r="G179" s="21">
        <f>IF(OR(C179="",N(D179)=0),"",C179/D179)</f>
        <v/>
      </c>
      <c r="H179" s="21">
        <f>IF(A179="","",IFERROR(INDEX(Weight!$B$2:$B$1000,MATCH(IF(_xlfn.MAXIFS(Weight!$A$2:$A$1000,Weight!$A$2:$A$1000,"&lt;="&amp;A179)&gt;0,_xlfn.MAXIFS(Weight!$A$2:$A$1000,Weight!$A$2:$A$1000,"&lt;="&amp;A179),_xlfn.MINIFS(Weight!$A$2:$A$1000,Weight!$A$2:$A$1000,"&gt;0")),Weight!$A$2:$A$1000,0)),Settings!$B$6))</f>
        <v/>
      </c>
      <c r="I179" s="21">
        <f>IF(B179="","",IFERROR(INDEX(Settings!$B$10:$B$21,MATCH(B179,Settings!$A$10:$A$21,0)),4))</f>
        <v/>
      </c>
      <c r="J179" s="22">
        <f>IF(OR(A179="",C179="",I179=""),"",I179*H179*C179/60)</f>
        <v/>
      </c>
    </row>
    <row r="180">
      <c r="A180" s="35" t="n"/>
      <c r="B180" s="33" t="n"/>
      <c r="C180" s="31" t="n"/>
      <c r="D180" s="30" t="n"/>
      <c r="E180" s="33" t="n"/>
      <c r="F180" s="20">
        <f>IF(A180="","",WEEKNUM(A180,21))</f>
        <v/>
      </c>
      <c r="G180" s="21">
        <f>IF(OR(C180="",N(D180)=0),"",C180/D180)</f>
        <v/>
      </c>
      <c r="H180" s="21">
        <f>IF(A180="","",IFERROR(INDEX(Weight!$B$2:$B$1000,MATCH(IF(_xlfn.MAXIFS(Weight!$A$2:$A$1000,Weight!$A$2:$A$1000,"&lt;="&amp;A180)&gt;0,_xlfn.MAXIFS(Weight!$A$2:$A$1000,Weight!$A$2:$A$1000,"&lt;="&amp;A180),_xlfn.MINIFS(Weight!$A$2:$A$1000,Weight!$A$2:$A$1000,"&gt;0")),Weight!$A$2:$A$1000,0)),Settings!$B$6))</f>
        <v/>
      </c>
      <c r="I180" s="21">
        <f>IF(B180="","",IFERROR(INDEX(Settings!$B$10:$B$21,MATCH(B180,Settings!$A$10:$A$21,0)),4))</f>
        <v/>
      </c>
      <c r="J180" s="22">
        <f>IF(OR(A180="",C180="",I180=""),"",I180*H180*C180/60)</f>
        <v/>
      </c>
    </row>
    <row r="181">
      <c r="A181" s="35" t="n"/>
      <c r="B181" s="33" t="n"/>
      <c r="C181" s="31" t="n"/>
      <c r="D181" s="30" t="n"/>
      <c r="E181" s="33" t="n"/>
      <c r="F181" s="20">
        <f>IF(A181="","",WEEKNUM(A181,21))</f>
        <v/>
      </c>
      <c r="G181" s="21">
        <f>IF(OR(C181="",N(D181)=0),"",C181/D181)</f>
        <v/>
      </c>
      <c r="H181" s="21">
        <f>IF(A181="","",IFERROR(INDEX(Weight!$B$2:$B$1000,MATCH(IF(_xlfn.MAXIFS(Weight!$A$2:$A$1000,Weight!$A$2:$A$1000,"&lt;="&amp;A181)&gt;0,_xlfn.MAXIFS(Weight!$A$2:$A$1000,Weight!$A$2:$A$1000,"&lt;="&amp;A181),_xlfn.MINIFS(Weight!$A$2:$A$1000,Weight!$A$2:$A$1000,"&gt;0")),Weight!$A$2:$A$1000,0)),Settings!$B$6))</f>
        <v/>
      </c>
      <c r="I181" s="21">
        <f>IF(B181="","",IFERROR(INDEX(Settings!$B$10:$B$21,MATCH(B181,Settings!$A$10:$A$21,0)),4))</f>
        <v/>
      </c>
      <c r="J181" s="22">
        <f>IF(OR(A181="",C181="",I181=""),"",I181*H181*C181/60)</f>
        <v/>
      </c>
    </row>
    <row r="182">
      <c r="A182" s="35" t="n"/>
      <c r="B182" s="33" t="n"/>
      <c r="C182" s="31" t="n"/>
      <c r="D182" s="30" t="n"/>
      <c r="E182" s="33" t="n"/>
      <c r="F182" s="20">
        <f>IF(A182="","",WEEKNUM(A182,21))</f>
        <v/>
      </c>
      <c r="G182" s="21">
        <f>IF(OR(C182="",N(D182)=0),"",C182/D182)</f>
        <v/>
      </c>
      <c r="H182" s="21">
        <f>IF(A182="","",IFERROR(INDEX(Weight!$B$2:$B$1000,MATCH(IF(_xlfn.MAXIFS(Weight!$A$2:$A$1000,Weight!$A$2:$A$1000,"&lt;="&amp;A182)&gt;0,_xlfn.MAXIFS(Weight!$A$2:$A$1000,Weight!$A$2:$A$1000,"&lt;="&amp;A182),_xlfn.MINIFS(Weight!$A$2:$A$1000,Weight!$A$2:$A$1000,"&gt;0")),Weight!$A$2:$A$1000,0)),Settings!$B$6))</f>
        <v/>
      </c>
      <c r="I182" s="21">
        <f>IF(B182="","",IFERROR(INDEX(Settings!$B$10:$B$21,MATCH(B182,Settings!$A$10:$A$21,0)),4))</f>
        <v/>
      </c>
      <c r="J182" s="22">
        <f>IF(OR(A182="",C182="",I182=""),"",I182*H182*C182/60)</f>
        <v/>
      </c>
    </row>
    <row r="183">
      <c r="A183" s="35" t="n"/>
      <c r="B183" s="33" t="n"/>
      <c r="C183" s="31" t="n"/>
      <c r="D183" s="30" t="n"/>
      <c r="E183" s="33" t="n"/>
      <c r="F183" s="20">
        <f>IF(A183="","",WEEKNUM(A183,21))</f>
        <v/>
      </c>
      <c r="G183" s="21">
        <f>IF(OR(C183="",N(D183)=0),"",C183/D183)</f>
        <v/>
      </c>
      <c r="H183" s="21">
        <f>IF(A183="","",IFERROR(INDEX(Weight!$B$2:$B$1000,MATCH(IF(_xlfn.MAXIFS(Weight!$A$2:$A$1000,Weight!$A$2:$A$1000,"&lt;="&amp;A183)&gt;0,_xlfn.MAXIFS(Weight!$A$2:$A$1000,Weight!$A$2:$A$1000,"&lt;="&amp;A183),_xlfn.MINIFS(Weight!$A$2:$A$1000,Weight!$A$2:$A$1000,"&gt;0")),Weight!$A$2:$A$1000,0)),Settings!$B$6))</f>
        <v/>
      </c>
      <c r="I183" s="21">
        <f>IF(B183="","",IFERROR(INDEX(Settings!$B$10:$B$21,MATCH(B183,Settings!$A$10:$A$21,0)),4))</f>
        <v/>
      </c>
      <c r="J183" s="22">
        <f>IF(OR(A183="",C183="",I183=""),"",I183*H183*C183/60)</f>
        <v/>
      </c>
    </row>
    <row r="184">
      <c r="A184" s="35" t="n"/>
      <c r="B184" s="33" t="n"/>
      <c r="C184" s="31" t="n"/>
      <c r="D184" s="30" t="n"/>
      <c r="E184" s="33" t="n"/>
      <c r="F184" s="20">
        <f>IF(A184="","",WEEKNUM(A184,21))</f>
        <v/>
      </c>
      <c r="G184" s="21">
        <f>IF(OR(C184="",N(D184)=0),"",C184/D184)</f>
        <v/>
      </c>
      <c r="H184" s="21">
        <f>IF(A184="","",IFERROR(INDEX(Weight!$B$2:$B$1000,MATCH(IF(_xlfn.MAXIFS(Weight!$A$2:$A$1000,Weight!$A$2:$A$1000,"&lt;="&amp;A184)&gt;0,_xlfn.MAXIFS(Weight!$A$2:$A$1000,Weight!$A$2:$A$1000,"&lt;="&amp;A184),_xlfn.MINIFS(Weight!$A$2:$A$1000,Weight!$A$2:$A$1000,"&gt;0")),Weight!$A$2:$A$1000,0)),Settings!$B$6))</f>
        <v/>
      </c>
      <c r="I184" s="21">
        <f>IF(B184="","",IFERROR(INDEX(Settings!$B$10:$B$21,MATCH(B184,Settings!$A$10:$A$21,0)),4))</f>
        <v/>
      </c>
      <c r="J184" s="22">
        <f>IF(OR(A184="",C184="",I184=""),"",I184*H184*C184/60)</f>
        <v/>
      </c>
    </row>
    <row r="185">
      <c r="A185" s="35" t="n"/>
      <c r="B185" s="33" t="n"/>
      <c r="C185" s="31" t="n"/>
      <c r="D185" s="30" t="n"/>
      <c r="E185" s="33" t="n"/>
      <c r="F185" s="20">
        <f>IF(A185="","",WEEKNUM(A185,21))</f>
        <v/>
      </c>
      <c r="G185" s="21">
        <f>IF(OR(C185="",N(D185)=0),"",C185/D185)</f>
        <v/>
      </c>
      <c r="H185" s="21">
        <f>IF(A185="","",IFERROR(INDEX(Weight!$B$2:$B$1000,MATCH(IF(_xlfn.MAXIFS(Weight!$A$2:$A$1000,Weight!$A$2:$A$1000,"&lt;="&amp;A185)&gt;0,_xlfn.MAXIFS(Weight!$A$2:$A$1000,Weight!$A$2:$A$1000,"&lt;="&amp;A185),_xlfn.MINIFS(Weight!$A$2:$A$1000,Weight!$A$2:$A$1000,"&gt;0")),Weight!$A$2:$A$1000,0)),Settings!$B$6))</f>
        <v/>
      </c>
      <c r="I185" s="21">
        <f>IF(B185="","",IFERROR(INDEX(Settings!$B$10:$B$21,MATCH(B185,Settings!$A$10:$A$21,0)),4))</f>
        <v/>
      </c>
      <c r="J185" s="22">
        <f>IF(OR(A185="",C185="",I185=""),"",I185*H185*C185/60)</f>
        <v/>
      </c>
    </row>
    <row r="186">
      <c r="A186" s="35" t="n"/>
      <c r="B186" s="33" t="n"/>
      <c r="C186" s="31" t="n"/>
      <c r="D186" s="30" t="n"/>
      <c r="E186" s="33" t="n"/>
      <c r="F186" s="20">
        <f>IF(A186="","",WEEKNUM(A186,21))</f>
        <v/>
      </c>
      <c r="G186" s="21">
        <f>IF(OR(C186="",N(D186)=0),"",C186/D186)</f>
        <v/>
      </c>
      <c r="H186" s="21">
        <f>IF(A186="","",IFERROR(INDEX(Weight!$B$2:$B$1000,MATCH(IF(_xlfn.MAXIFS(Weight!$A$2:$A$1000,Weight!$A$2:$A$1000,"&lt;="&amp;A186)&gt;0,_xlfn.MAXIFS(Weight!$A$2:$A$1000,Weight!$A$2:$A$1000,"&lt;="&amp;A186),_xlfn.MINIFS(Weight!$A$2:$A$1000,Weight!$A$2:$A$1000,"&gt;0")),Weight!$A$2:$A$1000,0)),Settings!$B$6))</f>
        <v/>
      </c>
      <c r="I186" s="21">
        <f>IF(B186="","",IFERROR(INDEX(Settings!$B$10:$B$21,MATCH(B186,Settings!$A$10:$A$21,0)),4))</f>
        <v/>
      </c>
      <c r="J186" s="22">
        <f>IF(OR(A186="",C186="",I186=""),"",I186*H186*C186/60)</f>
        <v/>
      </c>
    </row>
    <row r="187">
      <c r="A187" s="35" t="n"/>
      <c r="B187" s="33" t="n"/>
      <c r="C187" s="31" t="n"/>
      <c r="D187" s="30" t="n"/>
      <c r="E187" s="33" t="n"/>
      <c r="F187" s="20">
        <f>IF(A187="","",WEEKNUM(A187,21))</f>
        <v/>
      </c>
      <c r="G187" s="21">
        <f>IF(OR(C187="",N(D187)=0),"",C187/D187)</f>
        <v/>
      </c>
      <c r="H187" s="21">
        <f>IF(A187="","",IFERROR(INDEX(Weight!$B$2:$B$1000,MATCH(IF(_xlfn.MAXIFS(Weight!$A$2:$A$1000,Weight!$A$2:$A$1000,"&lt;="&amp;A187)&gt;0,_xlfn.MAXIFS(Weight!$A$2:$A$1000,Weight!$A$2:$A$1000,"&lt;="&amp;A187),_xlfn.MINIFS(Weight!$A$2:$A$1000,Weight!$A$2:$A$1000,"&gt;0")),Weight!$A$2:$A$1000,0)),Settings!$B$6))</f>
        <v/>
      </c>
      <c r="I187" s="21">
        <f>IF(B187="","",IFERROR(INDEX(Settings!$B$10:$B$21,MATCH(B187,Settings!$A$10:$A$21,0)),4))</f>
        <v/>
      </c>
      <c r="J187" s="22">
        <f>IF(OR(A187="",C187="",I187=""),"",I187*H187*C187/60)</f>
        <v/>
      </c>
    </row>
    <row r="188">
      <c r="A188" s="35" t="n"/>
      <c r="B188" s="33" t="n"/>
      <c r="C188" s="31" t="n"/>
      <c r="D188" s="30" t="n"/>
      <c r="E188" s="33" t="n"/>
      <c r="F188" s="20">
        <f>IF(A188="","",WEEKNUM(A188,21))</f>
        <v/>
      </c>
      <c r="G188" s="21">
        <f>IF(OR(C188="",N(D188)=0),"",C188/D188)</f>
        <v/>
      </c>
      <c r="H188" s="21">
        <f>IF(A188="","",IFERROR(INDEX(Weight!$B$2:$B$1000,MATCH(IF(_xlfn.MAXIFS(Weight!$A$2:$A$1000,Weight!$A$2:$A$1000,"&lt;="&amp;A188)&gt;0,_xlfn.MAXIFS(Weight!$A$2:$A$1000,Weight!$A$2:$A$1000,"&lt;="&amp;A188),_xlfn.MINIFS(Weight!$A$2:$A$1000,Weight!$A$2:$A$1000,"&gt;0")),Weight!$A$2:$A$1000,0)),Settings!$B$6))</f>
        <v/>
      </c>
      <c r="I188" s="21">
        <f>IF(B188="","",IFERROR(INDEX(Settings!$B$10:$B$21,MATCH(B188,Settings!$A$10:$A$21,0)),4))</f>
        <v/>
      </c>
      <c r="J188" s="22">
        <f>IF(OR(A188="",C188="",I188=""),"",I188*H188*C188/60)</f>
        <v/>
      </c>
    </row>
    <row r="189">
      <c r="A189" s="35" t="n"/>
      <c r="B189" s="33" t="n"/>
      <c r="C189" s="31" t="n"/>
      <c r="D189" s="30" t="n"/>
      <c r="E189" s="33" t="n"/>
      <c r="F189" s="20">
        <f>IF(A189="","",WEEKNUM(A189,21))</f>
        <v/>
      </c>
      <c r="G189" s="21">
        <f>IF(OR(C189="",N(D189)=0),"",C189/D189)</f>
        <v/>
      </c>
      <c r="H189" s="21">
        <f>IF(A189="","",IFERROR(INDEX(Weight!$B$2:$B$1000,MATCH(IF(_xlfn.MAXIFS(Weight!$A$2:$A$1000,Weight!$A$2:$A$1000,"&lt;="&amp;A189)&gt;0,_xlfn.MAXIFS(Weight!$A$2:$A$1000,Weight!$A$2:$A$1000,"&lt;="&amp;A189),_xlfn.MINIFS(Weight!$A$2:$A$1000,Weight!$A$2:$A$1000,"&gt;0")),Weight!$A$2:$A$1000,0)),Settings!$B$6))</f>
        <v/>
      </c>
      <c r="I189" s="21">
        <f>IF(B189="","",IFERROR(INDEX(Settings!$B$10:$B$21,MATCH(B189,Settings!$A$10:$A$21,0)),4))</f>
        <v/>
      </c>
      <c r="J189" s="22">
        <f>IF(OR(A189="",C189="",I189=""),"",I189*H189*C189/60)</f>
        <v/>
      </c>
    </row>
    <row r="190">
      <c r="A190" s="35" t="n"/>
      <c r="B190" s="33" t="n"/>
      <c r="C190" s="31" t="n"/>
      <c r="D190" s="30" t="n"/>
      <c r="E190" s="33" t="n"/>
      <c r="F190" s="20">
        <f>IF(A190="","",WEEKNUM(A190,21))</f>
        <v/>
      </c>
      <c r="G190" s="21">
        <f>IF(OR(C190="",N(D190)=0),"",C190/D190)</f>
        <v/>
      </c>
      <c r="H190" s="21">
        <f>IF(A190="","",IFERROR(INDEX(Weight!$B$2:$B$1000,MATCH(IF(_xlfn.MAXIFS(Weight!$A$2:$A$1000,Weight!$A$2:$A$1000,"&lt;="&amp;A190)&gt;0,_xlfn.MAXIFS(Weight!$A$2:$A$1000,Weight!$A$2:$A$1000,"&lt;="&amp;A190),_xlfn.MINIFS(Weight!$A$2:$A$1000,Weight!$A$2:$A$1000,"&gt;0")),Weight!$A$2:$A$1000,0)),Settings!$B$6))</f>
        <v/>
      </c>
      <c r="I190" s="21">
        <f>IF(B190="","",IFERROR(INDEX(Settings!$B$10:$B$21,MATCH(B190,Settings!$A$10:$A$21,0)),4))</f>
        <v/>
      </c>
      <c r="J190" s="22">
        <f>IF(OR(A190="",C190="",I190=""),"",I190*H190*C190/60)</f>
        <v/>
      </c>
    </row>
    <row r="191">
      <c r="A191" s="35" t="n"/>
      <c r="B191" s="33" t="n"/>
      <c r="C191" s="31" t="n"/>
      <c r="D191" s="30" t="n"/>
      <c r="E191" s="33" t="n"/>
      <c r="F191" s="20">
        <f>IF(A191="","",WEEKNUM(A191,21))</f>
        <v/>
      </c>
      <c r="G191" s="21">
        <f>IF(OR(C191="",N(D191)=0),"",C191/D191)</f>
        <v/>
      </c>
      <c r="H191" s="21">
        <f>IF(A191="","",IFERROR(INDEX(Weight!$B$2:$B$1000,MATCH(IF(_xlfn.MAXIFS(Weight!$A$2:$A$1000,Weight!$A$2:$A$1000,"&lt;="&amp;A191)&gt;0,_xlfn.MAXIFS(Weight!$A$2:$A$1000,Weight!$A$2:$A$1000,"&lt;="&amp;A191),_xlfn.MINIFS(Weight!$A$2:$A$1000,Weight!$A$2:$A$1000,"&gt;0")),Weight!$A$2:$A$1000,0)),Settings!$B$6))</f>
        <v/>
      </c>
      <c r="I191" s="21">
        <f>IF(B191="","",IFERROR(INDEX(Settings!$B$10:$B$21,MATCH(B191,Settings!$A$10:$A$21,0)),4))</f>
        <v/>
      </c>
      <c r="J191" s="22">
        <f>IF(OR(A191="",C191="",I191=""),"",I191*H191*C191/60)</f>
        <v/>
      </c>
    </row>
    <row r="192">
      <c r="A192" s="35" t="n"/>
      <c r="B192" s="33" t="n"/>
      <c r="C192" s="31" t="n"/>
      <c r="D192" s="30" t="n"/>
      <c r="E192" s="33" t="n"/>
      <c r="F192" s="20">
        <f>IF(A192="","",WEEKNUM(A192,21))</f>
        <v/>
      </c>
      <c r="G192" s="21">
        <f>IF(OR(C192="",N(D192)=0),"",C192/D192)</f>
        <v/>
      </c>
      <c r="H192" s="21">
        <f>IF(A192="","",IFERROR(INDEX(Weight!$B$2:$B$1000,MATCH(IF(_xlfn.MAXIFS(Weight!$A$2:$A$1000,Weight!$A$2:$A$1000,"&lt;="&amp;A192)&gt;0,_xlfn.MAXIFS(Weight!$A$2:$A$1000,Weight!$A$2:$A$1000,"&lt;="&amp;A192),_xlfn.MINIFS(Weight!$A$2:$A$1000,Weight!$A$2:$A$1000,"&gt;0")),Weight!$A$2:$A$1000,0)),Settings!$B$6))</f>
        <v/>
      </c>
      <c r="I192" s="21">
        <f>IF(B192="","",IFERROR(INDEX(Settings!$B$10:$B$21,MATCH(B192,Settings!$A$10:$A$21,0)),4))</f>
        <v/>
      </c>
      <c r="J192" s="22">
        <f>IF(OR(A192="",C192="",I192=""),"",I192*H192*C192/60)</f>
        <v/>
      </c>
    </row>
    <row r="193">
      <c r="A193" s="35" t="n"/>
      <c r="B193" s="33" t="n"/>
      <c r="C193" s="31" t="n"/>
      <c r="D193" s="30" t="n"/>
      <c r="E193" s="33" t="n"/>
      <c r="F193" s="20">
        <f>IF(A193="","",WEEKNUM(A193,21))</f>
        <v/>
      </c>
      <c r="G193" s="21">
        <f>IF(OR(C193="",N(D193)=0),"",C193/D193)</f>
        <v/>
      </c>
      <c r="H193" s="21">
        <f>IF(A193="","",IFERROR(INDEX(Weight!$B$2:$B$1000,MATCH(IF(_xlfn.MAXIFS(Weight!$A$2:$A$1000,Weight!$A$2:$A$1000,"&lt;="&amp;A193)&gt;0,_xlfn.MAXIFS(Weight!$A$2:$A$1000,Weight!$A$2:$A$1000,"&lt;="&amp;A193),_xlfn.MINIFS(Weight!$A$2:$A$1000,Weight!$A$2:$A$1000,"&gt;0")),Weight!$A$2:$A$1000,0)),Settings!$B$6))</f>
        <v/>
      </c>
      <c r="I193" s="21">
        <f>IF(B193="","",IFERROR(INDEX(Settings!$B$10:$B$21,MATCH(B193,Settings!$A$10:$A$21,0)),4))</f>
        <v/>
      </c>
      <c r="J193" s="22">
        <f>IF(OR(A193="",C193="",I193=""),"",I193*H193*C193/60)</f>
        <v/>
      </c>
    </row>
    <row r="194">
      <c r="A194" s="35" t="n"/>
      <c r="B194" s="33" t="n"/>
      <c r="C194" s="31" t="n"/>
      <c r="D194" s="30" t="n"/>
      <c r="E194" s="33" t="n"/>
      <c r="F194" s="20">
        <f>IF(A194="","",WEEKNUM(A194,21))</f>
        <v/>
      </c>
      <c r="G194" s="21">
        <f>IF(OR(C194="",N(D194)=0),"",C194/D194)</f>
        <v/>
      </c>
      <c r="H194" s="21">
        <f>IF(A194="","",IFERROR(INDEX(Weight!$B$2:$B$1000,MATCH(IF(_xlfn.MAXIFS(Weight!$A$2:$A$1000,Weight!$A$2:$A$1000,"&lt;="&amp;A194)&gt;0,_xlfn.MAXIFS(Weight!$A$2:$A$1000,Weight!$A$2:$A$1000,"&lt;="&amp;A194),_xlfn.MINIFS(Weight!$A$2:$A$1000,Weight!$A$2:$A$1000,"&gt;0")),Weight!$A$2:$A$1000,0)),Settings!$B$6))</f>
        <v/>
      </c>
      <c r="I194" s="21">
        <f>IF(B194="","",IFERROR(INDEX(Settings!$B$10:$B$21,MATCH(B194,Settings!$A$10:$A$21,0)),4))</f>
        <v/>
      </c>
      <c r="J194" s="22">
        <f>IF(OR(A194="",C194="",I194=""),"",I194*H194*C194/60)</f>
        <v/>
      </c>
    </row>
    <row r="195">
      <c r="A195" s="35" t="n"/>
      <c r="B195" s="33" t="n"/>
      <c r="C195" s="31" t="n"/>
      <c r="D195" s="30" t="n"/>
      <c r="E195" s="33" t="n"/>
      <c r="F195" s="20">
        <f>IF(A195="","",WEEKNUM(A195,21))</f>
        <v/>
      </c>
      <c r="G195" s="21">
        <f>IF(OR(C195="",N(D195)=0),"",C195/D195)</f>
        <v/>
      </c>
      <c r="H195" s="21">
        <f>IF(A195="","",IFERROR(INDEX(Weight!$B$2:$B$1000,MATCH(IF(_xlfn.MAXIFS(Weight!$A$2:$A$1000,Weight!$A$2:$A$1000,"&lt;="&amp;A195)&gt;0,_xlfn.MAXIFS(Weight!$A$2:$A$1000,Weight!$A$2:$A$1000,"&lt;="&amp;A195),_xlfn.MINIFS(Weight!$A$2:$A$1000,Weight!$A$2:$A$1000,"&gt;0")),Weight!$A$2:$A$1000,0)),Settings!$B$6))</f>
        <v/>
      </c>
      <c r="I195" s="21">
        <f>IF(B195="","",IFERROR(INDEX(Settings!$B$10:$B$21,MATCH(B195,Settings!$A$10:$A$21,0)),4))</f>
        <v/>
      </c>
      <c r="J195" s="22">
        <f>IF(OR(A195="",C195="",I195=""),"",I195*H195*C195/60)</f>
        <v/>
      </c>
    </row>
    <row r="196">
      <c r="A196" s="35" t="n"/>
      <c r="B196" s="33" t="n"/>
      <c r="C196" s="31" t="n"/>
      <c r="D196" s="30" t="n"/>
      <c r="E196" s="33" t="n"/>
      <c r="F196" s="20">
        <f>IF(A196="","",WEEKNUM(A196,21))</f>
        <v/>
      </c>
      <c r="G196" s="21">
        <f>IF(OR(C196="",N(D196)=0),"",C196/D196)</f>
        <v/>
      </c>
      <c r="H196" s="21">
        <f>IF(A196="","",IFERROR(INDEX(Weight!$B$2:$B$1000,MATCH(IF(_xlfn.MAXIFS(Weight!$A$2:$A$1000,Weight!$A$2:$A$1000,"&lt;="&amp;A196)&gt;0,_xlfn.MAXIFS(Weight!$A$2:$A$1000,Weight!$A$2:$A$1000,"&lt;="&amp;A196),_xlfn.MINIFS(Weight!$A$2:$A$1000,Weight!$A$2:$A$1000,"&gt;0")),Weight!$A$2:$A$1000,0)),Settings!$B$6))</f>
        <v/>
      </c>
      <c r="I196" s="21">
        <f>IF(B196="","",IFERROR(INDEX(Settings!$B$10:$B$21,MATCH(B196,Settings!$A$10:$A$21,0)),4))</f>
        <v/>
      </c>
      <c r="J196" s="22">
        <f>IF(OR(A196="",C196="",I196=""),"",I196*H196*C196/60)</f>
        <v/>
      </c>
    </row>
    <row r="197">
      <c r="A197" s="35" t="n"/>
      <c r="B197" s="33" t="n"/>
      <c r="C197" s="31" t="n"/>
      <c r="D197" s="30" t="n"/>
      <c r="E197" s="33" t="n"/>
      <c r="F197" s="20">
        <f>IF(A197="","",WEEKNUM(A197,21))</f>
        <v/>
      </c>
      <c r="G197" s="21">
        <f>IF(OR(C197="",N(D197)=0),"",C197/D197)</f>
        <v/>
      </c>
      <c r="H197" s="21">
        <f>IF(A197="","",IFERROR(INDEX(Weight!$B$2:$B$1000,MATCH(IF(_xlfn.MAXIFS(Weight!$A$2:$A$1000,Weight!$A$2:$A$1000,"&lt;="&amp;A197)&gt;0,_xlfn.MAXIFS(Weight!$A$2:$A$1000,Weight!$A$2:$A$1000,"&lt;="&amp;A197),_xlfn.MINIFS(Weight!$A$2:$A$1000,Weight!$A$2:$A$1000,"&gt;0")),Weight!$A$2:$A$1000,0)),Settings!$B$6))</f>
        <v/>
      </c>
      <c r="I197" s="21">
        <f>IF(B197="","",IFERROR(INDEX(Settings!$B$10:$B$21,MATCH(B197,Settings!$A$10:$A$21,0)),4))</f>
        <v/>
      </c>
      <c r="J197" s="22">
        <f>IF(OR(A197="",C197="",I197=""),"",I197*H197*C197/60)</f>
        <v/>
      </c>
    </row>
    <row r="198">
      <c r="A198" s="35" t="n"/>
      <c r="B198" s="33" t="n"/>
      <c r="C198" s="31" t="n"/>
      <c r="D198" s="30" t="n"/>
      <c r="E198" s="33" t="n"/>
      <c r="F198" s="20">
        <f>IF(A198="","",WEEKNUM(A198,21))</f>
        <v/>
      </c>
      <c r="G198" s="21">
        <f>IF(OR(C198="",N(D198)=0),"",C198/D198)</f>
        <v/>
      </c>
      <c r="H198" s="21">
        <f>IF(A198="","",IFERROR(INDEX(Weight!$B$2:$B$1000,MATCH(IF(_xlfn.MAXIFS(Weight!$A$2:$A$1000,Weight!$A$2:$A$1000,"&lt;="&amp;A198)&gt;0,_xlfn.MAXIFS(Weight!$A$2:$A$1000,Weight!$A$2:$A$1000,"&lt;="&amp;A198),_xlfn.MINIFS(Weight!$A$2:$A$1000,Weight!$A$2:$A$1000,"&gt;0")),Weight!$A$2:$A$1000,0)),Settings!$B$6))</f>
        <v/>
      </c>
      <c r="I198" s="21">
        <f>IF(B198="","",IFERROR(INDEX(Settings!$B$10:$B$21,MATCH(B198,Settings!$A$10:$A$21,0)),4))</f>
        <v/>
      </c>
      <c r="J198" s="22">
        <f>IF(OR(A198="",C198="",I198=""),"",I198*H198*C198/60)</f>
        <v/>
      </c>
    </row>
    <row r="199">
      <c r="A199" s="35" t="n"/>
      <c r="B199" s="33" t="n"/>
      <c r="C199" s="31" t="n"/>
      <c r="D199" s="30" t="n"/>
      <c r="E199" s="33" t="n"/>
      <c r="F199" s="20">
        <f>IF(A199="","",WEEKNUM(A199,21))</f>
        <v/>
      </c>
      <c r="G199" s="21">
        <f>IF(OR(C199="",N(D199)=0),"",C199/D199)</f>
        <v/>
      </c>
      <c r="H199" s="21">
        <f>IF(A199="","",IFERROR(INDEX(Weight!$B$2:$B$1000,MATCH(IF(_xlfn.MAXIFS(Weight!$A$2:$A$1000,Weight!$A$2:$A$1000,"&lt;="&amp;A199)&gt;0,_xlfn.MAXIFS(Weight!$A$2:$A$1000,Weight!$A$2:$A$1000,"&lt;="&amp;A199),_xlfn.MINIFS(Weight!$A$2:$A$1000,Weight!$A$2:$A$1000,"&gt;0")),Weight!$A$2:$A$1000,0)),Settings!$B$6))</f>
        <v/>
      </c>
      <c r="I199" s="21">
        <f>IF(B199="","",IFERROR(INDEX(Settings!$B$10:$B$21,MATCH(B199,Settings!$A$10:$A$21,0)),4))</f>
        <v/>
      </c>
      <c r="J199" s="22">
        <f>IF(OR(A199="",C199="",I199=""),"",I199*H199*C199/60)</f>
        <v/>
      </c>
    </row>
    <row r="200">
      <c r="A200" s="35" t="n"/>
      <c r="B200" s="33" t="n"/>
      <c r="C200" s="31" t="n"/>
      <c r="D200" s="30" t="n"/>
      <c r="E200" s="33" t="n"/>
      <c r="F200" s="20">
        <f>IF(A200="","",WEEKNUM(A200,21))</f>
        <v/>
      </c>
      <c r="G200" s="21">
        <f>IF(OR(C200="",N(D200)=0),"",C200/D200)</f>
        <v/>
      </c>
      <c r="H200" s="21">
        <f>IF(A200="","",IFERROR(INDEX(Weight!$B$2:$B$1000,MATCH(IF(_xlfn.MAXIFS(Weight!$A$2:$A$1000,Weight!$A$2:$A$1000,"&lt;="&amp;A200)&gt;0,_xlfn.MAXIFS(Weight!$A$2:$A$1000,Weight!$A$2:$A$1000,"&lt;="&amp;A200),_xlfn.MINIFS(Weight!$A$2:$A$1000,Weight!$A$2:$A$1000,"&gt;0")),Weight!$A$2:$A$1000,0)),Settings!$B$6))</f>
        <v/>
      </c>
      <c r="I200" s="21">
        <f>IF(B200="","",IFERROR(INDEX(Settings!$B$10:$B$21,MATCH(B200,Settings!$A$10:$A$21,0)),4))</f>
        <v/>
      </c>
      <c r="J200" s="22">
        <f>IF(OR(A200="",C200="",I200=""),"",I200*H200*C200/60)</f>
        <v/>
      </c>
    </row>
    <row r="201">
      <c r="A201" s="35" t="n"/>
      <c r="B201" s="33" t="n"/>
      <c r="C201" s="31" t="n"/>
      <c r="D201" s="30" t="n"/>
      <c r="E201" s="33" t="n"/>
      <c r="F201" s="20">
        <f>IF(A201="","",WEEKNUM(A201,21))</f>
        <v/>
      </c>
      <c r="G201" s="21">
        <f>IF(OR(C201="",N(D201)=0),"",C201/D201)</f>
        <v/>
      </c>
      <c r="H201" s="21">
        <f>IF(A201="","",IFERROR(INDEX(Weight!$B$2:$B$1000,MATCH(IF(_xlfn.MAXIFS(Weight!$A$2:$A$1000,Weight!$A$2:$A$1000,"&lt;="&amp;A201)&gt;0,_xlfn.MAXIFS(Weight!$A$2:$A$1000,Weight!$A$2:$A$1000,"&lt;="&amp;A201),_xlfn.MINIFS(Weight!$A$2:$A$1000,Weight!$A$2:$A$1000,"&gt;0")),Weight!$A$2:$A$1000,0)),Settings!$B$6))</f>
        <v/>
      </c>
      <c r="I201" s="21">
        <f>IF(B201="","",IFERROR(INDEX(Settings!$B$10:$B$21,MATCH(B201,Settings!$A$10:$A$21,0)),4))</f>
        <v/>
      </c>
      <c r="J201" s="22">
        <f>IF(OR(A201="",C201="",I201=""),"",I201*H201*C201/60)</f>
        <v/>
      </c>
    </row>
    <row r="202">
      <c r="A202" s="35" t="n"/>
      <c r="B202" s="33" t="n"/>
      <c r="C202" s="31" t="n"/>
      <c r="D202" s="30" t="n"/>
      <c r="E202" s="33" t="n"/>
      <c r="F202" s="20">
        <f>IF(A202="","",WEEKNUM(A202,21))</f>
        <v/>
      </c>
      <c r="G202" s="21">
        <f>IF(OR(C202="",N(D202)=0),"",C202/D202)</f>
        <v/>
      </c>
      <c r="H202" s="21">
        <f>IF(A202="","",IFERROR(INDEX(Weight!$B$2:$B$1000,MATCH(IF(_xlfn.MAXIFS(Weight!$A$2:$A$1000,Weight!$A$2:$A$1000,"&lt;="&amp;A202)&gt;0,_xlfn.MAXIFS(Weight!$A$2:$A$1000,Weight!$A$2:$A$1000,"&lt;="&amp;A202),_xlfn.MINIFS(Weight!$A$2:$A$1000,Weight!$A$2:$A$1000,"&gt;0")),Weight!$A$2:$A$1000,0)),Settings!$B$6))</f>
        <v/>
      </c>
      <c r="I202" s="21">
        <f>IF(B202="","",IFERROR(INDEX(Settings!$B$10:$B$21,MATCH(B202,Settings!$A$10:$A$21,0)),4))</f>
        <v/>
      </c>
      <c r="J202" s="22">
        <f>IF(OR(A202="",C202="",I202=""),"",I202*H202*C202/60)</f>
        <v/>
      </c>
    </row>
    <row r="203">
      <c r="A203" s="35" t="n"/>
      <c r="B203" s="33" t="n"/>
      <c r="C203" s="31" t="n"/>
      <c r="D203" s="30" t="n"/>
      <c r="E203" s="33" t="n"/>
      <c r="F203" s="20">
        <f>IF(A203="","",WEEKNUM(A203,21))</f>
        <v/>
      </c>
      <c r="G203" s="21">
        <f>IF(OR(C203="",N(D203)=0),"",C203/D203)</f>
        <v/>
      </c>
      <c r="H203" s="21">
        <f>IF(A203="","",IFERROR(INDEX(Weight!$B$2:$B$1000,MATCH(IF(_xlfn.MAXIFS(Weight!$A$2:$A$1000,Weight!$A$2:$A$1000,"&lt;="&amp;A203)&gt;0,_xlfn.MAXIFS(Weight!$A$2:$A$1000,Weight!$A$2:$A$1000,"&lt;="&amp;A203),_xlfn.MINIFS(Weight!$A$2:$A$1000,Weight!$A$2:$A$1000,"&gt;0")),Weight!$A$2:$A$1000,0)),Settings!$B$6))</f>
        <v/>
      </c>
      <c r="I203" s="21">
        <f>IF(B203="","",IFERROR(INDEX(Settings!$B$10:$B$21,MATCH(B203,Settings!$A$10:$A$21,0)),4))</f>
        <v/>
      </c>
      <c r="J203" s="22">
        <f>IF(OR(A203="",C203="",I203=""),"",I203*H203*C203/60)</f>
        <v/>
      </c>
    </row>
    <row r="204">
      <c r="A204" s="35" t="n"/>
      <c r="B204" s="33" t="n"/>
      <c r="C204" s="31" t="n"/>
      <c r="D204" s="30" t="n"/>
      <c r="E204" s="33" t="n"/>
      <c r="F204" s="20">
        <f>IF(A204="","",WEEKNUM(A204,21))</f>
        <v/>
      </c>
      <c r="G204" s="21">
        <f>IF(OR(C204="",N(D204)=0),"",C204/D204)</f>
        <v/>
      </c>
      <c r="H204" s="21">
        <f>IF(A204="","",IFERROR(INDEX(Weight!$B$2:$B$1000,MATCH(IF(_xlfn.MAXIFS(Weight!$A$2:$A$1000,Weight!$A$2:$A$1000,"&lt;="&amp;A204)&gt;0,_xlfn.MAXIFS(Weight!$A$2:$A$1000,Weight!$A$2:$A$1000,"&lt;="&amp;A204),_xlfn.MINIFS(Weight!$A$2:$A$1000,Weight!$A$2:$A$1000,"&gt;0")),Weight!$A$2:$A$1000,0)),Settings!$B$6))</f>
        <v/>
      </c>
      <c r="I204" s="21">
        <f>IF(B204="","",IFERROR(INDEX(Settings!$B$10:$B$21,MATCH(B204,Settings!$A$10:$A$21,0)),4))</f>
        <v/>
      </c>
      <c r="J204" s="22">
        <f>IF(OR(A204="",C204="",I204=""),"",I204*H204*C204/60)</f>
        <v/>
      </c>
    </row>
    <row r="205">
      <c r="A205" s="35" t="n"/>
      <c r="B205" s="33" t="n"/>
      <c r="C205" s="31" t="n"/>
      <c r="D205" s="30" t="n"/>
      <c r="E205" s="33" t="n"/>
      <c r="F205" s="20">
        <f>IF(A205="","",WEEKNUM(A205,21))</f>
        <v/>
      </c>
      <c r="G205" s="21">
        <f>IF(OR(C205="",N(D205)=0),"",C205/D205)</f>
        <v/>
      </c>
      <c r="H205" s="21">
        <f>IF(A205="","",IFERROR(INDEX(Weight!$B$2:$B$1000,MATCH(IF(_xlfn.MAXIFS(Weight!$A$2:$A$1000,Weight!$A$2:$A$1000,"&lt;="&amp;A205)&gt;0,_xlfn.MAXIFS(Weight!$A$2:$A$1000,Weight!$A$2:$A$1000,"&lt;="&amp;A205),_xlfn.MINIFS(Weight!$A$2:$A$1000,Weight!$A$2:$A$1000,"&gt;0")),Weight!$A$2:$A$1000,0)),Settings!$B$6))</f>
        <v/>
      </c>
      <c r="I205" s="21">
        <f>IF(B205="","",IFERROR(INDEX(Settings!$B$10:$B$21,MATCH(B205,Settings!$A$10:$A$21,0)),4))</f>
        <v/>
      </c>
      <c r="J205" s="22">
        <f>IF(OR(A205="",C205="",I205=""),"",I205*H205*C205/60)</f>
        <v/>
      </c>
    </row>
    <row r="206">
      <c r="A206" s="35" t="n"/>
      <c r="B206" s="33" t="n"/>
      <c r="C206" s="31" t="n"/>
      <c r="D206" s="30" t="n"/>
      <c r="E206" s="33" t="n"/>
      <c r="F206" s="20">
        <f>IF(A206="","",WEEKNUM(A206,21))</f>
        <v/>
      </c>
      <c r="G206" s="21">
        <f>IF(OR(C206="",N(D206)=0),"",C206/D206)</f>
        <v/>
      </c>
      <c r="H206" s="21">
        <f>IF(A206="","",IFERROR(INDEX(Weight!$B$2:$B$1000,MATCH(IF(_xlfn.MAXIFS(Weight!$A$2:$A$1000,Weight!$A$2:$A$1000,"&lt;="&amp;A206)&gt;0,_xlfn.MAXIFS(Weight!$A$2:$A$1000,Weight!$A$2:$A$1000,"&lt;="&amp;A206),_xlfn.MINIFS(Weight!$A$2:$A$1000,Weight!$A$2:$A$1000,"&gt;0")),Weight!$A$2:$A$1000,0)),Settings!$B$6))</f>
        <v/>
      </c>
      <c r="I206" s="21">
        <f>IF(B206="","",IFERROR(INDEX(Settings!$B$10:$B$21,MATCH(B206,Settings!$A$10:$A$21,0)),4))</f>
        <v/>
      </c>
      <c r="J206" s="22">
        <f>IF(OR(A206="",C206="",I206=""),"",I206*H206*C206/60)</f>
        <v/>
      </c>
    </row>
    <row r="207">
      <c r="A207" s="35" t="n"/>
      <c r="B207" s="33" t="n"/>
      <c r="C207" s="31" t="n"/>
      <c r="D207" s="30" t="n"/>
      <c r="E207" s="33" t="n"/>
      <c r="F207" s="20">
        <f>IF(A207="","",WEEKNUM(A207,21))</f>
        <v/>
      </c>
      <c r="G207" s="21">
        <f>IF(OR(C207="",N(D207)=0),"",C207/D207)</f>
        <v/>
      </c>
      <c r="H207" s="21">
        <f>IF(A207="","",IFERROR(INDEX(Weight!$B$2:$B$1000,MATCH(IF(_xlfn.MAXIFS(Weight!$A$2:$A$1000,Weight!$A$2:$A$1000,"&lt;="&amp;A207)&gt;0,_xlfn.MAXIFS(Weight!$A$2:$A$1000,Weight!$A$2:$A$1000,"&lt;="&amp;A207),_xlfn.MINIFS(Weight!$A$2:$A$1000,Weight!$A$2:$A$1000,"&gt;0")),Weight!$A$2:$A$1000,0)),Settings!$B$6))</f>
        <v/>
      </c>
      <c r="I207" s="21">
        <f>IF(B207="","",IFERROR(INDEX(Settings!$B$10:$B$21,MATCH(B207,Settings!$A$10:$A$21,0)),4))</f>
        <v/>
      </c>
      <c r="J207" s="22">
        <f>IF(OR(A207="",C207="",I207=""),"",I207*H207*C207/60)</f>
        <v/>
      </c>
    </row>
    <row r="208">
      <c r="A208" s="35" t="n"/>
      <c r="B208" s="33" t="n"/>
      <c r="C208" s="31" t="n"/>
      <c r="D208" s="30" t="n"/>
      <c r="E208" s="33" t="n"/>
      <c r="F208" s="20">
        <f>IF(A208="","",WEEKNUM(A208,21))</f>
        <v/>
      </c>
      <c r="G208" s="21">
        <f>IF(OR(C208="",N(D208)=0),"",C208/D208)</f>
        <v/>
      </c>
      <c r="H208" s="21">
        <f>IF(A208="","",IFERROR(INDEX(Weight!$B$2:$B$1000,MATCH(IF(_xlfn.MAXIFS(Weight!$A$2:$A$1000,Weight!$A$2:$A$1000,"&lt;="&amp;A208)&gt;0,_xlfn.MAXIFS(Weight!$A$2:$A$1000,Weight!$A$2:$A$1000,"&lt;="&amp;A208),_xlfn.MINIFS(Weight!$A$2:$A$1000,Weight!$A$2:$A$1000,"&gt;0")),Weight!$A$2:$A$1000,0)),Settings!$B$6))</f>
        <v/>
      </c>
      <c r="I208" s="21">
        <f>IF(B208="","",IFERROR(INDEX(Settings!$B$10:$B$21,MATCH(B208,Settings!$A$10:$A$21,0)),4))</f>
        <v/>
      </c>
      <c r="J208" s="22">
        <f>IF(OR(A208="",C208="",I208=""),"",I208*H208*C208/60)</f>
        <v/>
      </c>
    </row>
    <row r="209">
      <c r="A209" s="35" t="n"/>
      <c r="B209" s="33" t="n"/>
      <c r="C209" s="31" t="n"/>
      <c r="D209" s="30" t="n"/>
      <c r="E209" s="33" t="n"/>
      <c r="F209" s="20">
        <f>IF(A209="","",WEEKNUM(A209,21))</f>
        <v/>
      </c>
      <c r="G209" s="21">
        <f>IF(OR(C209="",N(D209)=0),"",C209/D209)</f>
        <v/>
      </c>
      <c r="H209" s="21">
        <f>IF(A209="","",IFERROR(INDEX(Weight!$B$2:$B$1000,MATCH(IF(_xlfn.MAXIFS(Weight!$A$2:$A$1000,Weight!$A$2:$A$1000,"&lt;="&amp;A209)&gt;0,_xlfn.MAXIFS(Weight!$A$2:$A$1000,Weight!$A$2:$A$1000,"&lt;="&amp;A209),_xlfn.MINIFS(Weight!$A$2:$A$1000,Weight!$A$2:$A$1000,"&gt;0")),Weight!$A$2:$A$1000,0)),Settings!$B$6))</f>
        <v/>
      </c>
      <c r="I209" s="21">
        <f>IF(B209="","",IFERROR(INDEX(Settings!$B$10:$B$21,MATCH(B209,Settings!$A$10:$A$21,0)),4))</f>
        <v/>
      </c>
      <c r="J209" s="22">
        <f>IF(OR(A209="",C209="",I209=""),"",I209*H209*C209/60)</f>
        <v/>
      </c>
    </row>
    <row r="210">
      <c r="A210" s="35" t="n"/>
      <c r="B210" s="33" t="n"/>
      <c r="C210" s="31" t="n"/>
      <c r="D210" s="30" t="n"/>
      <c r="E210" s="33" t="n"/>
      <c r="F210" s="20">
        <f>IF(A210="","",WEEKNUM(A210,21))</f>
        <v/>
      </c>
      <c r="G210" s="21">
        <f>IF(OR(C210="",N(D210)=0),"",C210/D210)</f>
        <v/>
      </c>
      <c r="H210" s="21">
        <f>IF(A210="","",IFERROR(INDEX(Weight!$B$2:$B$1000,MATCH(IF(_xlfn.MAXIFS(Weight!$A$2:$A$1000,Weight!$A$2:$A$1000,"&lt;="&amp;A210)&gt;0,_xlfn.MAXIFS(Weight!$A$2:$A$1000,Weight!$A$2:$A$1000,"&lt;="&amp;A210),_xlfn.MINIFS(Weight!$A$2:$A$1000,Weight!$A$2:$A$1000,"&gt;0")),Weight!$A$2:$A$1000,0)),Settings!$B$6))</f>
        <v/>
      </c>
      <c r="I210" s="21">
        <f>IF(B210="","",IFERROR(INDEX(Settings!$B$10:$B$21,MATCH(B210,Settings!$A$10:$A$21,0)),4))</f>
        <v/>
      </c>
      <c r="J210" s="22">
        <f>IF(OR(A210="",C210="",I210=""),"",I210*H210*C210/60)</f>
        <v/>
      </c>
    </row>
    <row r="211">
      <c r="A211" s="35" t="n"/>
      <c r="B211" s="33" t="n"/>
      <c r="C211" s="31" t="n"/>
      <c r="D211" s="30" t="n"/>
      <c r="E211" s="33" t="n"/>
      <c r="F211" s="20">
        <f>IF(A211="","",WEEKNUM(A211,21))</f>
        <v/>
      </c>
      <c r="G211" s="21">
        <f>IF(OR(C211="",N(D211)=0),"",C211/D211)</f>
        <v/>
      </c>
      <c r="H211" s="21">
        <f>IF(A211="","",IFERROR(INDEX(Weight!$B$2:$B$1000,MATCH(IF(_xlfn.MAXIFS(Weight!$A$2:$A$1000,Weight!$A$2:$A$1000,"&lt;="&amp;A211)&gt;0,_xlfn.MAXIFS(Weight!$A$2:$A$1000,Weight!$A$2:$A$1000,"&lt;="&amp;A211),_xlfn.MINIFS(Weight!$A$2:$A$1000,Weight!$A$2:$A$1000,"&gt;0")),Weight!$A$2:$A$1000,0)),Settings!$B$6))</f>
        <v/>
      </c>
      <c r="I211" s="21">
        <f>IF(B211="","",IFERROR(INDEX(Settings!$B$10:$B$21,MATCH(B211,Settings!$A$10:$A$21,0)),4))</f>
        <v/>
      </c>
      <c r="J211" s="22">
        <f>IF(OR(A211="",C211="",I211=""),"",I211*H211*C211/60)</f>
        <v/>
      </c>
    </row>
    <row r="212">
      <c r="A212" s="35" t="n"/>
      <c r="B212" s="33" t="n"/>
      <c r="C212" s="31" t="n"/>
      <c r="D212" s="30" t="n"/>
      <c r="E212" s="33" t="n"/>
      <c r="F212" s="20">
        <f>IF(A212="","",WEEKNUM(A212,21))</f>
        <v/>
      </c>
      <c r="G212" s="21">
        <f>IF(OR(C212="",N(D212)=0),"",C212/D212)</f>
        <v/>
      </c>
      <c r="H212" s="21">
        <f>IF(A212="","",IFERROR(INDEX(Weight!$B$2:$B$1000,MATCH(IF(_xlfn.MAXIFS(Weight!$A$2:$A$1000,Weight!$A$2:$A$1000,"&lt;="&amp;A212)&gt;0,_xlfn.MAXIFS(Weight!$A$2:$A$1000,Weight!$A$2:$A$1000,"&lt;="&amp;A212),_xlfn.MINIFS(Weight!$A$2:$A$1000,Weight!$A$2:$A$1000,"&gt;0")),Weight!$A$2:$A$1000,0)),Settings!$B$6))</f>
        <v/>
      </c>
      <c r="I212" s="21">
        <f>IF(B212="","",IFERROR(INDEX(Settings!$B$10:$B$21,MATCH(B212,Settings!$A$10:$A$21,0)),4))</f>
        <v/>
      </c>
      <c r="J212" s="22">
        <f>IF(OR(A212="",C212="",I212=""),"",I212*H212*C212/60)</f>
        <v/>
      </c>
    </row>
    <row r="213">
      <c r="A213" s="35" t="n"/>
      <c r="B213" s="33" t="n"/>
      <c r="C213" s="31" t="n"/>
      <c r="D213" s="30" t="n"/>
      <c r="E213" s="33" t="n"/>
      <c r="F213" s="20">
        <f>IF(A213="","",WEEKNUM(A213,21))</f>
        <v/>
      </c>
      <c r="G213" s="21">
        <f>IF(OR(C213="",N(D213)=0),"",C213/D213)</f>
        <v/>
      </c>
      <c r="H213" s="21">
        <f>IF(A213="","",IFERROR(INDEX(Weight!$B$2:$B$1000,MATCH(IF(_xlfn.MAXIFS(Weight!$A$2:$A$1000,Weight!$A$2:$A$1000,"&lt;="&amp;A213)&gt;0,_xlfn.MAXIFS(Weight!$A$2:$A$1000,Weight!$A$2:$A$1000,"&lt;="&amp;A213),_xlfn.MINIFS(Weight!$A$2:$A$1000,Weight!$A$2:$A$1000,"&gt;0")),Weight!$A$2:$A$1000,0)),Settings!$B$6))</f>
        <v/>
      </c>
      <c r="I213" s="21">
        <f>IF(B213="","",IFERROR(INDEX(Settings!$B$10:$B$21,MATCH(B213,Settings!$A$10:$A$21,0)),4))</f>
        <v/>
      </c>
      <c r="J213" s="22">
        <f>IF(OR(A213="",C213="",I213=""),"",I213*H213*C213/60)</f>
        <v/>
      </c>
    </row>
    <row r="214">
      <c r="A214" s="35" t="n"/>
      <c r="B214" s="33" t="n"/>
      <c r="C214" s="31" t="n"/>
      <c r="D214" s="30" t="n"/>
      <c r="E214" s="33" t="n"/>
      <c r="F214" s="20">
        <f>IF(A214="","",WEEKNUM(A214,21))</f>
        <v/>
      </c>
      <c r="G214" s="21">
        <f>IF(OR(C214="",N(D214)=0),"",C214/D214)</f>
        <v/>
      </c>
      <c r="H214" s="21">
        <f>IF(A214="","",IFERROR(INDEX(Weight!$B$2:$B$1000,MATCH(IF(_xlfn.MAXIFS(Weight!$A$2:$A$1000,Weight!$A$2:$A$1000,"&lt;="&amp;A214)&gt;0,_xlfn.MAXIFS(Weight!$A$2:$A$1000,Weight!$A$2:$A$1000,"&lt;="&amp;A214),_xlfn.MINIFS(Weight!$A$2:$A$1000,Weight!$A$2:$A$1000,"&gt;0")),Weight!$A$2:$A$1000,0)),Settings!$B$6))</f>
        <v/>
      </c>
      <c r="I214" s="21">
        <f>IF(B214="","",IFERROR(INDEX(Settings!$B$10:$B$21,MATCH(B214,Settings!$A$10:$A$21,0)),4))</f>
        <v/>
      </c>
      <c r="J214" s="22">
        <f>IF(OR(A214="",C214="",I214=""),"",I214*H214*C214/60)</f>
        <v/>
      </c>
    </row>
    <row r="215">
      <c r="A215" s="35" t="n"/>
      <c r="B215" s="33" t="n"/>
      <c r="C215" s="31" t="n"/>
      <c r="D215" s="30" t="n"/>
      <c r="E215" s="33" t="n"/>
      <c r="F215" s="20">
        <f>IF(A215="","",WEEKNUM(A215,21))</f>
        <v/>
      </c>
      <c r="G215" s="21">
        <f>IF(OR(C215="",N(D215)=0),"",C215/D215)</f>
        <v/>
      </c>
      <c r="H215" s="21">
        <f>IF(A215="","",IFERROR(INDEX(Weight!$B$2:$B$1000,MATCH(IF(_xlfn.MAXIFS(Weight!$A$2:$A$1000,Weight!$A$2:$A$1000,"&lt;="&amp;A215)&gt;0,_xlfn.MAXIFS(Weight!$A$2:$A$1000,Weight!$A$2:$A$1000,"&lt;="&amp;A215),_xlfn.MINIFS(Weight!$A$2:$A$1000,Weight!$A$2:$A$1000,"&gt;0")),Weight!$A$2:$A$1000,0)),Settings!$B$6))</f>
        <v/>
      </c>
      <c r="I215" s="21">
        <f>IF(B215="","",IFERROR(INDEX(Settings!$B$10:$B$21,MATCH(B215,Settings!$A$10:$A$21,0)),4))</f>
        <v/>
      </c>
      <c r="J215" s="22">
        <f>IF(OR(A215="",C215="",I215=""),"",I215*H215*C215/60)</f>
        <v/>
      </c>
    </row>
    <row r="216">
      <c r="A216" s="35" t="n"/>
      <c r="B216" s="33" t="n"/>
      <c r="C216" s="31" t="n"/>
      <c r="D216" s="30" t="n"/>
      <c r="E216" s="33" t="n"/>
      <c r="F216" s="20">
        <f>IF(A216="","",WEEKNUM(A216,21))</f>
        <v/>
      </c>
      <c r="G216" s="21">
        <f>IF(OR(C216="",N(D216)=0),"",C216/D216)</f>
        <v/>
      </c>
      <c r="H216" s="21">
        <f>IF(A216="","",IFERROR(INDEX(Weight!$B$2:$B$1000,MATCH(IF(_xlfn.MAXIFS(Weight!$A$2:$A$1000,Weight!$A$2:$A$1000,"&lt;="&amp;A216)&gt;0,_xlfn.MAXIFS(Weight!$A$2:$A$1000,Weight!$A$2:$A$1000,"&lt;="&amp;A216),_xlfn.MINIFS(Weight!$A$2:$A$1000,Weight!$A$2:$A$1000,"&gt;0")),Weight!$A$2:$A$1000,0)),Settings!$B$6))</f>
        <v/>
      </c>
      <c r="I216" s="21">
        <f>IF(B216="","",IFERROR(INDEX(Settings!$B$10:$B$21,MATCH(B216,Settings!$A$10:$A$21,0)),4))</f>
        <v/>
      </c>
      <c r="J216" s="22">
        <f>IF(OR(A216="",C216="",I216=""),"",I216*H216*C216/60)</f>
        <v/>
      </c>
    </row>
    <row r="217">
      <c r="A217" s="35" t="n"/>
      <c r="B217" s="33" t="n"/>
      <c r="C217" s="31" t="n"/>
      <c r="D217" s="30" t="n"/>
      <c r="E217" s="33" t="n"/>
      <c r="F217" s="20">
        <f>IF(A217="","",WEEKNUM(A217,21))</f>
        <v/>
      </c>
      <c r="G217" s="21">
        <f>IF(OR(C217="",N(D217)=0),"",C217/D217)</f>
        <v/>
      </c>
      <c r="H217" s="21">
        <f>IF(A217="","",IFERROR(INDEX(Weight!$B$2:$B$1000,MATCH(IF(_xlfn.MAXIFS(Weight!$A$2:$A$1000,Weight!$A$2:$A$1000,"&lt;="&amp;A217)&gt;0,_xlfn.MAXIFS(Weight!$A$2:$A$1000,Weight!$A$2:$A$1000,"&lt;="&amp;A217),_xlfn.MINIFS(Weight!$A$2:$A$1000,Weight!$A$2:$A$1000,"&gt;0")),Weight!$A$2:$A$1000,0)),Settings!$B$6))</f>
        <v/>
      </c>
      <c r="I217" s="21">
        <f>IF(B217="","",IFERROR(INDEX(Settings!$B$10:$B$21,MATCH(B217,Settings!$A$10:$A$21,0)),4))</f>
        <v/>
      </c>
      <c r="J217" s="22">
        <f>IF(OR(A217="",C217="",I217=""),"",I217*H217*C217/60)</f>
        <v/>
      </c>
    </row>
    <row r="218">
      <c r="A218" s="35" t="n"/>
      <c r="B218" s="33" t="n"/>
      <c r="C218" s="31" t="n"/>
      <c r="D218" s="30" t="n"/>
      <c r="E218" s="33" t="n"/>
      <c r="F218" s="20">
        <f>IF(A218="","",WEEKNUM(A218,21))</f>
        <v/>
      </c>
      <c r="G218" s="21">
        <f>IF(OR(C218="",N(D218)=0),"",C218/D218)</f>
        <v/>
      </c>
      <c r="H218" s="21">
        <f>IF(A218="","",IFERROR(INDEX(Weight!$B$2:$B$1000,MATCH(IF(_xlfn.MAXIFS(Weight!$A$2:$A$1000,Weight!$A$2:$A$1000,"&lt;="&amp;A218)&gt;0,_xlfn.MAXIFS(Weight!$A$2:$A$1000,Weight!$A$2:$A$1000,"&lt;="&amp;A218),_xlfn.MINIFS(Weight!$A$2:$A$1000,Weight!$A$2:$A$1000,"&gt;0")),Weight!$A$2:$A$1000,0)),Settings!$B$6))</f>
        <v/>
      </c>
      <c r="I218" s="21">
        <f>IF(B218="","",IFERROR(INDEX(Settings!$B$10:$B$21,MATCH(B218,Settings!$A$10:$A$21,0)),4))</f>
        <v/>
      </c>
      <c r="J218" s="22">
        <f>IF(OR(A218="",C218="",I218=""),"",I218*H218*C218/60)</f>
        <v/>
      </c>
    </row>
    <row r="219">
      <c r="A219" s="35" t="n"/>
      <c r="B219" s="33" t="n"/>
      <c r="C219" s="31" t="n"/>
      <c r="D219" s="30" t="n"/>
      <c r="E219" s="33" t="n"/>
      <c r="F219" s="20">
        <f>IF(A219="","",WEEKNUM(A219,21))</f>
        <v/>
      </c>
      <c r="G219" s="21">
        <f>IF(OR(C219="",N(D219)=0),"",C219/D219)</f>
        <v/>
      </c>
      <c r="H219" s="21">
        <f>IF(A219="","",IFERROR(INDEX(Weight!$B$2:$B$1000,MATCH(IF(_xlfn.MAXIFS(Weight!$A$2:$A$1000,Weight!$A$2:$A$1000,"&lt;="&amp;A219)&gt;0,_xlfn.MAXIFS(Weight!$A$2:$A$1000,Weight!$A$2:$A$1000,"&lt;="&amp;A219),_xlfn.MINIFS(Weight!$A$2:$A$1000,Weight!$A$2:$A$1000,"&gt;0")),Weight!$A$2:$A$1000,0)),Settings!$B$6))</f>
        <v/>
      </c>
      <c r="I219" s="21">
        <f>IF(B219="","",IFERROR(INDEX(Settings!$B$10:$B$21,MATCH(B219,Settings!$A$10:$A$21,0)),4))</f>
        <v/>
      </c>
      <c r="J219" s="22">
        <f>IF(OR(A219="",C219="",I219=""),"",I219*H219*C219/60)</f>
        <v/>
      </c>
    </row>
    <row r="220">
      <c r="A220" s="35" t="n"/>
      <c r="B220" s="33" t="n"/>
      <c r="C220" s="31" t="n"/>
      <c r="D220" s="30" t="n"/>
      <c r="E220" s="33" t="n"/>
      <c r="F220" s="20">
        <f>IF(A220="","",WEEKNUM(A220,21))</f>
        <v/>
      </c>
      <c r="G220" s="21">
        <f>IF(OR(C220="",N(D220)=0),"",C220/D220)</f>
        <v/>
      </c>
      <c r="H220" s="21">
        <f>IF(A220="","",IFERROR(INDEX(Weight!$B$2:$B$1000,MATCH(IF(_xlfn.MAXIFS(Weight!$A$2:$A$1000,Weight!$A$2:$A$1000,"&lt;="&amp;A220)&gt;0,_xlfn.MAXIFS(Weight!$A$2:$A$1000,Weight!$A$2:$A$1000,"&lt;="&amp;A220),_xlfn.MINIFS(Weight!$A$2:$A$1000,Weight!$A$2:$A$1000,"&gt;0")),Weight!$A$2:$A$1000,0)),Settings!$B$6))</f>
        <v/>
      </c>
      <c r="I220" s="21">
        <f>IF(B220="","",IFERROR(INDEX(Settings!$B$10:$B$21,MATCH(B220,Settings!$A$10:$A$21,0)),4))</f>
        <v/>
      </c>
      <c r="J220" s="22">
        <f>IF(OR(A220="",C220="",I220=""),"",I220*H220*C220/60)</f>
        <v/>
      </c>
    </row>
    <row r="221">
      <c r="A221" s="35" t="n"/>
      <c r="B221" s="33" t="n"/>
      <c r="C221" s="31" t="n"/>
      <c r="D221" s="30" t="n"/>
      <c r="E221" s="33" t="n"/>
      <c r="F221" s="20">
        <f>IF(A221="","",WEEKNUM(A221,21))</f>
        <v/>
      </c>
      <c r="G221" s="21">
        <f>IF(OR(C221="",N(D221)=0),"",C221/D221)</f>
        <v/>
      </c>
      <c r="H221" s="21">
        <f>IF(A221="","",IFERROR(INDEX(Weight!$B$2:$B$1000,MATCH(IF(_xlfn.MAXIFS(Weight!$A$2:$A$1000,Weight!$A$2:$A$1000,"&lt;="&amp;A221)&gt;0,_xlfn.MAXIFS(Weight!$A$2:$A$1000,Weight!$A$2:$A$1000,"&lt;="&amp;A221),_xlfn.MINIFS(Weight!$A$2:$A$1000,Weight!$A$2:$A$1000,"&gt;0")),Weight!$A$2:$A$1000,0)),Settings!$B$6))</f>
        <v/>
      </c>
      <c r="I221" s="21">
        <f>IF(B221="","",IFERROR(INDEX(Settings!$B$10:$B$21,MATCH(B221,Settings!$A$10:$A$21,0)),4))</f>
        <v/>
      </c>
      <c r="J221" s="22">
        <f>IF(OR(A221="",C221="",I221=""),"",I221*H221*C221/60)</f>
        <v/>
      </c>
    </row>
    <row r="222">
      <c r="A222" s="35" t="n"/>
      <c r="B222" s="33" t="n"/>
      <c r="C222" s="31" t="n"/>
      <c r="D222" s="30" t="n"/>
      <c r="E222" s="33" t="n"/>
      <c r="F222" s="20">
        <f>IF(A222="","",WEEKNUM(A222,21))</f>
        <v/>
      </c>
      <c r="G222" s="21">
        <f>IF(OR(C222="",N(D222)=0),"",C222/D222)</f>
        <v/>
      </c>
      <c r="H222" s="21">
        <f>IF(A222="","",IFERROR(INDEX(Weight!$B$2:$B$1000,MATCH(IF(_xlfn.MAXIFS(Weight!$A$2:$A$1000,Weight!$A$2:$A$1000,"&lt;="&amp;A222)&gt;0,_xlfn.MAXIFS(Weight!$A$2:$A$1000,Weight!$A$2:$A$1000,"&lt;="&amp;A222),_xlfn.MINIFS(Weight!$A$2:$A$1000,Weight!$A$2:$A$1000,"&gt;0")),Weight!$A$2:$A$1000,0)),Settings!$B$6))</f>
        <v/>
      </c>
      <c r="I222" s="21">
        <f>IF(B222="","",IFERROR(INDEX(Settings!$B$10:$B$21,MATCH(B222,Settings!$A$10:$A$21,0)),4))</f>
        <v/>
      </c>
      <c r="J222" s="22">
        <f>IF(OR(A222="",C222="",I222=""),"",I222*H222*C222/60)</f>
        <v/>
      </c>
    </row>
    <row r="223">
      <c r="A223" s="35" t="n"/>
      <c r="B223" s="33" t="n"/>
      <c r="C223" s="31" t="n"/>
      <c r="D223" s="30" t="n"/>
      <c r="E223" s="33" t="n"/>
      <c r="F223" s="20">
        <f>IF(A223="","",WEEKNUM(A223,21))</f>
        <v/>
      </c>
      <c r="G223" s="21">
        <f>IF(OR(C223="",N(D223)=0),"",C223/D223)</f>
        <v/>
      </c>
      <c r="H223" s="21">
        <f>IF(A223="","",IFERROR(INDEX(Weight!$B$2:$B$1000,MATCH(IF(_xlfn.MAXIFS(Weight!$A$2:$A$1000,Weight!$A$2:$A$1000,"&lt;="&amp;A223)&gt;0,_xlfn.MAXIFS(Weight!$A$2:$A$1000,Weight!$A$2:$A$1000,"&lt;="&amp;A223),_xlfn.MINIFS(Weight!$A$2:$A$1000,Weight!$A$2:$A$1000,"&gt;0")),Weight!$A$2:$A$1000,0)),Settings!$B$6))</f>
        <v/>
      </c>
      <c r="I223" s="21">
        <f>IF(B223="","",IFERROR(INDEX(Settings!$B$10:$B$21,MATCH(B223,Settings!$A$10:$A$21,0)),4))</f>
        <v/>
      </c>
      <c r="J223" s="22">
        <f>IF(OR(A223="",C223="",I223=""),"",I223*H223*C223/60)</f>
        <v/>
      </c>
    </row>
    <row r="224">
      <c r="A224" s="35" t="n"/>
      <c r="B224" s="33" t="n"/>
      <c r="C224" s="31" t="n"/>
      <c r="D224" s="30" t="n"/>
      <c r="E224" s="33" t="n"/>
      <c r="F224" s="20">
        <f>IF(A224="","",WEEKNUM(A224,21))</f>
        <v/>
      </c>
      <c r="G224" s="21">
        <f>IF(OR(C224="",N(D224)=0),"",C224/D224)</f>
        <v/>
      </c>
      <c r="H224" s="21">
        <f>IF(A224="","",IFERROR(INDEX(Weight!$B$2:$B$1000,MATCH(IF(_xlfn.MAXIFS(Weight!$A$2:$A$1000,Weight!$A$2:$A$1000,"&lt;="&amp;A224)&gt;0,_xlfn.MAXIFS(Weight!$A$2:$A$1000,Weight!$A$2:$A$1000,"&lt;="&amp;A224),_xlfn.MINIFS(Weight!$A$2:$A$1000,Weight!$A$2:$A$1000,"&gt;0")),Weight!$A$2:$A$1000,0)),Settings!$B$6))</f>
        <v/>
      </c>
      <c r="I224" s="21">
        <f>IF(B224="","",IFERROR(INDEX(Settings!$B$10:$B$21,MATCH(B224,Settings!$A$10:$A$21,0)),4))</f>
        <v/>
      </c>
      <c r="J224" s="22">
        <f>IF(OR(A224="",C224="",I224=""),"",I224*H224*C224/60)</f>
        <v/>
      </c>
    </row>
    <row r="225">
      <c r="A225" s="35" t="n"/>
      <c r="B225" s="33" t="n"/>
      <c r="C225" s="31" t="n"/>
      <c r="D225" s="30" t="n"/>
      <c r="E225" s="33" t="n"/>
      <c r="F225" s="20">
        <f>IF(A225="","",WEEKNUM(A225,21))</f>
        <v/>
      </c>
      <c r="G225" s="21">
        <f>IF(OR(C225="",N(D225)=0),"",C225/D225)</f>
        <v/>
      </c>
      <c r="H225" s="21">
        <f>IF(A225="","",IFERROR(INDEX(Weight!$B$2:$B$1000,MATCH(IF(_xlfn.MAXIFS(Weight!$A$2:$A$1000,Weight!$A$2:$A$1000,"&lt;="&amp;A225)&gt;0,_xlfn.MAXIFS(Weight!$A$2:$A$1000,Weight!$A$2:$A$1000,"&lt;="&amp;A225),_xlfn.MINIFS(Weight!$A$2:$A$1000,Weight!$A$2:$A$1000,"&gt;0")),Weight!$A$2:$A$1000,0)),Settings!$B$6))</f>
        <v/>
      </c>
      <c r="I225" s="21">
        <f>IF(B225="","",IFERROR(INDEX(Settings!$B$10:$B$21,MATCH(B225,Settings!$A$10:$A$21,0)),4))</f>
        <v/>
      </c>
      <c r="J225" s="22">
        <f>IF(OR(A225="",C225="",I225=""),"",I225*H225*C225/60)</f>
        <v/>
      </c>
    </row>
    <row r="226">
      <c r="A226" s="35" t="n"/>
      <c r="B226" s="33" t="n"/>
      <c r="C226" s="31" t="n"/>
      <c r="D226" s="30" t="n"/>
      <c r="E226" s="33" t="n"/>
      <c r="F226" s="20">
        <f>IF(A226="","",WEEKNUM(A226,21))</f>
        <v/>
      </c>
      <c r="G226" s="21">
        <f>IF(OR(C226="",N(D226)=0),"",C226/D226)</f>
        <v/>
      </c>
      <c r="H226" s="21">
        <f>IF(A226="","",IFERROR(INDEX(Weight!$B$2:$B$1000,MATCH(IF(_xlfn.MAXIFS(Weight!$A$2:$A$1000,Weight!$A$2:$A$1000,"&lt;="&amp;A226)&gt;0,_xlfn.MAXIFS(Weight!$A$2:$A$1000,Weight!$A$2:$A$1000,"&lt;="&amp;A226),_xlfn.MINIFS(Weight!$A$2:$A$1000,Weight!$A$2:$A$1000,"&gt;0")),Weight!$A$2:$A$1000,0)),Settings!$B$6))</f>
        <v/>
      </c>
      <c r="I226" s="21">
        <f>IF(B226="","",IFERROR(INDEX(Settings!$B$10:$B$21,MATCH(B226,Settings!$A$10:$A$21,0)),4))</f>
        <v/>
      </c>
      <c r="J226" s="22">
        <f>IF(OR(A226="",C226="",I226=""),"",I226*H226*C226/60)</f>
        <v/>
      </c>
    </row>
    <row r="227">
      <c r="A227" s="35" t="n"/>
      <c r="B227" s="33" t="n"/>
      <c r="C227" s="31" t="n"/>
      <c r="D227" s="30" t="n"/>
      <c r="E227" s="33" t="n"/>
      <c r="F227" s="20">
        <f>IF(A227="","",WEEKNUM(A227,21))</f>
        <v/>
      </c>
      <c r="G227" s="21">
        <f>IF(OR(C227="",N(D227)=0),"",C227/D227)</f>
        <v/>
      </c>
      <c r="H227" s="21">
        <f>IF(A227="","",IFERROR(INDEX(Weight!$B$2:$B$1000,MATCH(IF(_xlfn.MAXIFS(Weight!$A$2:$A$1000,Weight!$A$2:$A$1000,"&lt;="&amp;A227)&gt;0,_xlfn.MAXIFS(Weight!$A$2:$A$1000,Weight!$A$2:$A$1000,"&lt;="&amp;A227),_xlfn.MINIFS(Weight!$A$2:$A$1000,Weight!$A$2:$A$1000,"&gt;0")),Weight!$A$2:$A$1000,0)),Settings!$B$6))</f>
        <v/>
      </c>
      <c r="I227" s="21">
        <f>IF(B227="","",IFERROR(INDEX(Settings!$B$10:$B$21,MATCH(B227,Settings!$A$10:$A$21,0)),4))</f>
        <v/>
      </c>
      <c r="J227" s="22">
        <f>IF(OR(A227="",C227="",I227=""),"",I227*H227*C227/60)</f>
        <v/>
      </c>
    </row>
    <row r="228">
      <c r="A228" s="35" t="n"/>
      <c r="B228" s="33" t="n"/>
      <c r="C228" s="31" t="n"/>
      <c r="D228" s="30" t="n"/>
      <c r="E228" s="33" t="n"/>
      <c r="F228" s="20">
        <f>IF(A228="","",WEEKNUM(A228,21))</f>
        <v/>
      </c>
      <c r="G228" s="21">
        <f>IF(OR(C228="",N(D228)=0),"",C228/D228)</f>
        <v/>
      </c>
      <c r="H228" s="21">
        <f>IF(A228="","",IFERROR(INDEX(Weight!$B$2:$B$1000,MATCH(IF(_xlfn.MAXIFS(Weight!$A$2:$A$1000,Weight!$A$2:$A$1000,"&lt;="&amp;A228)&gt;0,_xlfn.MAXIFS(Weight!$A$2:$A$1000,Weight!$A$2:$A$1000,"&lt;="&amp;A228),_xlfn.MINIFS(Weight!$A$2:$A$1000,Weight!$A$2:$A$1000,"&gt;0")),Weight!$A$2:$A$1000,0)),Settings!$B$6))</f>
        <v/>
      </c>
      <c r="I228" s="21">
        <f>IF(B228="","",IFERROR(INDEX(Settings!$B$10:$B$21,MATCH(B228,Settings!$A$10:$A$21,0)),4))</f>
        <v/>
      </c>
      <c r="J228" s="22">
        <f>IF(OR(A228="",C228="",I228=""),"",I228*H228*C228/60)</f>
        <v/>
      </c>
    </row>
    <row r="229">
      <c r="A229" s="35" t="n"/>
      <c r="B229" s="33" t="n"/>
      <c r="C229" s="31" t="n"/>
      <c r="D229" s="30" t="n"/>
      <c r="E229" s="33" t="n"/>
      <c r="F229" s="20">
        <f>IF(A229="","",WEEKNUM(A229,21))</f>
        <v/>
      </c>
      <c r="G229" s="21">
        <f>IF(OR(C229="",N(D229)=0),"",C229/D229)</f>
        <v/>
      </c>
      <c r="H229" s="21">
        <f>IF(A229="","",IFERROR(INDEX(Weight!$B$2:$B$1000,MATCH(IF(_xlfn.MAXIFS(Weight!$A$2:$A$1000,Weight!$A$2:$A$1000,"&lt;="&amp;A229)&gt;0,_xlfn.MAXIFS(Weight!$A$2:$A$1000,Weight!$A$2:$A$1000,"&lt;="&amp;A229),_xlfn.MINIFS(Weight!$A$2:$A$1000,Weight!$A$2:$A$1000,"&gt;0")),Weight!$A$2:$A$1000,0)),Settings!$B$6))</f>
        <v/>
      </c>
      <c r="I229" s="21">
        <f>IF(B229="","",IFERROR(INDEX(Settings!$B$10:$B$21,MATCH(B229,Settings!$A$10:$A$21,0)),4))</f>
        <v/>
      </c>
      <c r="J229" s="22">
        <f>IF(OR(A229="",C229="",I229=""),"",I229*H229*C229/60)</f>
        <v/>
      </c>
    </row>
    <row r="230">
      <c r="A230" s="35" t="n"/>
      <c r="B230" s="33" t="n"/>
      <c r="C230" s="31" t="n"/>
      <c r="D230" s="30" t="n"/>
      <c r="E230" s="33" t="n"/>
      <c r="F230" s="20">
        <f>IF(A230="","",WEEKNUM(A230,21))</f>
        <v/>
      </c>
      <c r="G230" s="21">
        <f>IF(OR(C230="",N(D230)=0),"",C230/D230)</f>
        <v/>
      </c>
      <c r="H230" s="21">
        <f>IF(A230="","",IFERROR(INDEX(Weight!$B$2:$B$1000,MATCH(IF(_xlfn.MAXIFS(Weight!$A$2:$A$1000,Weight!$A$2:$A$1000,"&lt;="&amp;A230)&gt;0,_xlfn.MAXIFS(Weight!$A$2:$A$1000,Weight!$A$2:$A$1000,"&lt;="&amp;A230),_xlfn.MINIFS(Weight!$A$2:$A$1000,Weight!$A$2:$A$1000,"&gt;0")),Weight!$A$2:$A$1000,0)),Settings!$B$6))</f>
        <v/>
      </c>
      <c r="I230" s="21">
        <f>IF(B230="","",IFERROR(INDEX(Settings!$B$10:$B$21,MATCH(B230,Settings!$A$10:$A$21,0)),4))</f>
        <v/>
      </c>
      <c r="J230" s="22">
        <f>IF(OR(A230="",C230="",I230=""),"",I230*H230*C230/60)</f>
        <v/>
      </c>
    </row>
    <row r="231">
      <c r="A231" s="35" t="n"/>
      <c r="B231" s="33" t="n"/>
      <c r="C231" s="31" t="n"/>
      <c r="D231" s="30" t="n"/>
      <c r="E231" s="33" t="n"/>
      <c r="F231" s="20">
        <f>IF(A231="","",WEEKNUM(A231,21))</f>
        <v/>
      </c>
      <c r="G231" s="21">
        <f>IF(OR(C231="",N(D231)=0),"",C231/D231)</f>
        <v/>
      </c>
      <c r="H231" s="21">
        <f>IF(A231="","",IFERROR(INDEX(Weight!$B$2:$B$1000,MATCH(IF(_xlfn.MAXIFS(Weight!$A$2:$A$1000,Weight!$A$2:$A$1000,"&lt;="&amp;A231)&gt;0,_xlfn.MAXIFS(Weight!$A$2:$A$1000,Weight!$A$2:$A$1000,"&lt;="&amp;A231),_xlfn.MINIFS(Weight!$A$2:$A$1000,Weight!$A$2:$A$1000,"&gt;0")),Weight!$A$2:$A$1000,0)),Settings!$B$6))</f>
        <v/>
      </c>
      <c r="I231" s="21">
        <f>IF(B231="","",IFERROR(INDEX(Settings!$B$10:$B$21,MATCH(B231,Settings!$A$10:$A$21,0)),4))</f>
        <v/>
      </c>
      <c r="J231" s="22">
        <f>IF(OR(A231="",C231="",I231=""),"",I231*H231*C231/60)</f>
        <v/>
      </c>
    </row>
    <row r="232">
      <c r="A232" s="35" t="n"/>
      <c r="B232" s="33" t="n"/>
      <c r="C232" s="31" t="n"/>
      <c r="D232" s="30" t="n"/>
      <c r="E232" s="33" t="n"/>
      <c r="F232" s="20">
        <f>IF(A232="","",WEEKNUM(A232,21))</f>
        <v/>
      </c>
      <c r="G232" s="21">
        <f>IF(OR(C232="",N(D232)=0),"",C232/D232)</f>
        <v/>
      </c>
      <c r="H232" s="21">
        <f>IF(A232="","",IFERROR(INDEX(Weight!$B$2:$B$1000,MATCH(IF(_xlfn.MAXIFS(Weight!$A$2:$A$1000,Weight!$A$2:$A$1000,"&lt;="&amp;A232)&gt;0,_xlfn.MAXIFS(Weight!$A$2:$A$1000,Weight!$A$2:$A$1000,"&lt;="&amp;A232),_xlfn.MINIFS(Weight!$A$2:$A$1000,Weight!$A$2:$A$1000,"&gt;0")),Weight!$A$2:$A$1000,0)),Settings!$B$6))</f>
        <v/>
      </c>
      <c r="I232" s="21">
        <f>IF(B232="","",IFERROR(INDEX(Settings!$B$10:$B$21,MATCH(B232,Settings!$A$10:$A$21,0)),4))</f>
        <v/>
      </c>
      <c r="J232" s="22">
        <f>IF(OR(A232="",C232="",I232=""),"",I232*H232*C232/60)</f>
        <v/>
      </c>
    </row>
    <row r="233">
      <c r="A233" s="35" t="n"/>
      <c r="B233" s="33" t="n"/>
      <c r="C233" s="31" t="n"/>
      <c r="D233" s="30" t="n"/>
      <c r="E233" s="33" t="n"/>
      <c r="F233" s="20">
        <f>IF(A233="","",WEEKNUM(A233,21))</f>
        <v/>
      </c>
      <c r="G233" s="21">
        <f>IF(OR(C233="",N(D233)=0),"",C233/D233)</f>
        <v/>
      </c>
      <c r="H233" s="21">
        <f>IF(A233="","",IFERROR(INDEX(Weight!$B$2:$B$1000,MATCH(IF(_xlfn.MAXIFS(Weight!$A$2:$A$1000,Weight!$A$2:$A$1000,"&lt;="&amp;A233)&gt;0,_xlfn.MAXIFS(Weight!$A$2:$A$1000,Weight!$A$2:$A$1000,"&lt;="&amp;A233),_xlfn.MINIFS(Weight!$A$2:$A$1000,Weight!$A$2:$A$1000,"&gt;0")),Weight!$A$2:$A$1000,0)),Settings!$B$6))</f>
        <v/>
      </c>
      <c r="I233" s="21">
        <f>IF(B233="","",IFERROR(INDEX(Settings!$B$10:$B$21,MATCH(B233,Settings!$A$10:$A$21,0)),4))</f>
        <v/>
      </c>
      <c r="J233" s="22">
        <f>IF(OR(A233="",C233="",I233=""),"",I233*H233*C233/60)</f>
        <v/>
      </c>
    </row>
    <row r="234">
      <c r="A234" s="35" t="n"/>
      <c r="B234" s="33" t="n"/>
      <c r="C234" s="31" t="n"/>
      <c r="D234" s="30" t="n"/>
      <c r="E234" s="33" t="n"/>
      <c r="F234" s="20">
        <f>IF(A234="","",WEEKNUM(A234,21))</f>
        <v/>
      </c>
      <c r="G234" s="21">
        <f>IF(OR(C234="",N(D234)=0),"",C234/D234)</f>
        <v/>
      </c>
      <c r="H234" s="21">
        <f>IF(A234="","",IFERROR(INDEX(Weight!$B$2:$B$1000,MATCH(IF(_xlfn.MAXIFS(Weight!$A$2:$A$1000,Weight!$A$2:$A$1000,"&lt;="&amp;A234)&gt;0,_xlfn.MAXIFS(Weight!$A$2:$A$1000,Weight!$A$2:$A$1000,"&lt;="&amp;A234),_xlfn.MINIFS(Weight!$A$2:$A$1000,Weight!$A$2:$A$1000,"&gt;0")),Weight!$A$2:$A$1000,0)),Settings!$B$6))</f>
        <v/>
      </c>
      <c r="I234" s="21">
        <f>IF(B234="","",IFERROR(INDEX(Settings!$B$10:$B$21,MATCH(B234,Settings!$A$10:$A$21,0)),4))</f>
        <v/>
      </c>
      <c r="J234" s="22">
        <f>IF(OR(A234="",C234="",I234=""),"",I234*H234*C234/60)</f>
        <v/>
      </c>
    </row>
    <row r="235">
      <c r="A235" s="35" t="n"/>
      <c r="B235" s="33" t="n"/>
      <c r="C235" s="31" t="n"/>
      <c r="D235" s="30" t="n"/>
      <c r="E235" s="33" t="n"/>
      <c r="F235" s="20">
        <f>IF(A235="","",WEEKNUM(A235,21))</f>
        <v/>
      </c>
      <c r="G235" s="21">
        <f>IF(OR(C235="",N(D235)=0),"",C235/D235)</f>
        <v/>
      </c>
      <c r="H235" s="21">
        <f>IF(A235="","",IFERROR(INDEX(Weight!$B$2:$B$1000,MATCH(IF(_xlfn.MAXIFS(Weight!$A$2:$A$1000,Weight!$A$2:$A$1000,"&lt;="&amp;A235)&gt;0,_xlfn.MAXIFS(Weight!$A$2:$A$1000,Weight!$A$2:$A$1000,"&lt;="&amp;A235),_xlfn.MINIFS(Weight!$A$2:$A$1000,Weight!$A$2:$A$1000,"&gt;0")),Weight!$A$2:$A$1000,0)),Settings!$B$6))</f>
        <v/>
      </c>
      <c r="I235" s="21">
        <f>IF(B235="","",IFERROR(INDEX(Settings!$B$10:$B$21,MATCH(B235,Settings!$A$10:$A$21,0)),4))</f>
        <v/>
      </c>
      <c r="J235" s="22">
        <f>IF(OR(A235="",C235="",I235=""),"",I235*H235*C235/60)</f>
        <v/>
      </c>
    </row>
    <row r="236">
      <c r="A236" s="35" t="n"/>
      <c r="B236" s="33" t="n"/>
      <c r="C236" s="31" t="n"/>
      <c r="D236" s="30" t="n"/>
      <c r="E236" s="33" t="n"/>
      <c r="F236" s="20">
        <f>IF(A236="","",WEEKNUM(A236,21))</f>
        <v/>
      </c>
      <c r="G236" s="21">
        <f>IF(OR(C236="",N(D236)=0),"",C236/D236)</f>
        <v/>
      </c>
      <c r="H236" s="21">
        <f>IF(A236="","",IFERROR(INDEX(Weight!$B$2:$B$1000,MATCH(IF(_xlfn.MAXIFS(Weight!$A$2:$A$1000,Weight!$A$2:$A$1000,"&lt;="&amp;A236)&gt;0,_xlfn.MAXIFS(Weight!$A$2:$A$1000,Weight!$A$2:$A$1000,"&lt;="&amp;A236),_xlfn.MINIFS(Weight!$A$2:$A$1000,Weight!$A$2:$A$1000,"&gt;0")),Weight!$A$2:$A$1000,0)),Settings!$B$6))</f>
        <v/>
      </c>
      <c r="I236" s="21">
        <f>IF(B236="","",IFERROR(INDEX(Settings!$B$10:$B$21,MATCH(B236,Settings!$A$10:$A$21,0)),4))</f>
        <v/>
      </c>
      <c r="J236" s="22">
        <f>IF(OR(A236="",C236="",I236=""),"",I236*H236*C236/60)</f>
        <v/>
      </c>
    </row>
    <row r="237">
      <c r="A237" s="35" t="n"/>
      <c r="B237" s="33" t="n"/>
      <c r="C237" s="31" t="n"/>
      <c r="D237" s="30" t="n"/>
      <c r="E237" s="33" t="n"/>
      <c r="F237" s="20">
        <f>IF(A237="","",WEEKNUM(A237,21))</f>
        <v/>
      </c>
      <c r="G237" s="21">
        <f>IF(OR(C237="",N(D237)=0),"",C237/D237)</f>
        <v/>
      </c>
      <c r="H237" s="21">
        <f>IF(A237="","",IFERROR(INDEX(Weight!$B$2:$B$1000,MATCH(IF(_xlfn.MAXIFS(Weight!$A$2:$A$1000,Weight!$A$2:$A$1000,"&lt;="&amp;A237)&gt;0,_xlfn.MAXIFS(Weight!$A$2:$A$1000,Weight!$A$2:$A$1000,"&lt;="&amp;A237),_xlfn.MINIFS(Weight!$A$2:$A$1000,Weight!$A$2:$A$1000,"&gt;0")),Weight!$A$2:$A$1000,0)),Settings!$B$6))</f>
        <v/>
      </c>
      <c r="I237" s="21">
        <f>IF(B237="","",IFERROR(INDEX(Settings!$B$10:$B$21,MATCH(B237,Settings!$A$10:$A$21,0)),4))</f>
        <v/>
      </c>
      <c r="J237" s="22">
        <f>IF(OR(A237="",C237="",I237=""),"",I237*H237*C237/60)</f>
        <v/>
      </c>
    </row>
    <row r="238">
      <c r="A238" s="35" t="n"/>
      <c r="B238" s="33" t="n"/>
      <c r="C238" s="31" t="n"/>
      <c r="D238" s="30" t="n"/>
      <c r="E238" s="33" t="n"/>
      <c r="F238" s="20">
        <f>IF(A238="","",WEEKNUM(A238,21))</f>
        <v/>
      </c>
      <c r="G238" s="21">
        <f>IF(OR(C238="",N(D238)=0),"",C238/D238)</f>
        <v/>
      </c>
      <c r="H238" s="21">
        <f>IF(A238="","",IFERROR(INDEX(Weight!$B$2:$B$1000,MATCH(IF(_xlfn.MAXIFS(Weight!$A$2:$A$1000,Weight!$A$2:$A$1000,"&lt;="&amp;A238)&gt;0,_xlfn.MAXIFS(Weight!$A$2:$A$1000,Weight!$A$2:$A$1000,"&lt;="&amp;A238),_xlfn.MINIFS(Weight!$A$2:$A$1000,Weight!$A$2:$A$1000,"&gt;0")),Weight!$A$2:$A$1000,0)),Settings!$B$6))</f>
        <v/>
      </c>
      <c r="I238" s="21">
        <f>IF(B238="","",IFERROR(INDEX(Settings!$B$10:$B$21,MATCH(B238,Settings!$A$10:$A$21,0)),4))</f>
        <v/>
      </c>
      <c r="J238" s="22">
        <f>IF(OR(A238="",C238="",I238=""),"",I238*H238*C238/60)</f>
        <v/>
      </c>
    </row>
    <row r="239">
      <c r="A239" s="35" t="n"/>
      <c r="B239" s="33" t="n"/>
      <c r="C239" s="31" t="n"/>
      <c r="D239" s="30" t="n"/>
      <c r="E239" s="33" t="n"/>
      <c r="F239" s="20">
        <f>IF(A239="","",WEEKNUM(A239,21))</f>
        <v/>
      </c>
      <c r="G239" s="21">
        <f>IF(OR(C239="",N(D239)=0),"",C239/D239)</f>
        <v/>
      </c>
      <c r="H239" s="21">
        <f>IF(A239="","",IFERROR(INDEX(Weight!$B$2:$B$1000,MATCH(IF(_xlfn.MAXIFS(Weight!$A$2:$A$1000,Weight!$A$2:$A$1000,"&lt;="&amp;A239)&gt;0,_xlfn.MAXIFS(Weight!$A$2:$A$1000,Weight!$A$2:$A$1000,"&lt;="&amp;A239),_xlfn.MINIFS(Weight!$A$2:$A$1000,Weight!$A$2:$A$1000,"&gt;0")),Weight!$A$2:$A$1000,0)),Settings!$B$6))</f>
        <v/>
      </c>
      <c r="I239" s="21">
        <f>IF(B239="","",IFERROR(INDEX(Settings!$B$10:$B$21,MATCH(B239,Settings!$A$10:$A$21,0)),4))</f>
        <v/>
      </c>
      <c r="J239" s="22">
        <f>IF(OR(A239="",C239="",I239=""),"",I239*H239*C239/60)</f>
        <v/>
      </c>
    </row>
    <row r="240">
      <c r="A240" s="35" t="n"/>
      <c r="B240" s="33" t="n"/>
      <c r="C240" s="31" t="n"/>
      <c r="D240" s="30" t="n"/>
      <c r="E240" s="33" t="n"/>
      <c r="F240" s="20">
        <f>IF(A240="","",WEEKNUM(A240,21))</f>
        <v/>
      </c>
      <c r="G240" s="21">
        <f>IF(OR(C240="",N(D240)=0),"",C240/D240)</f>
        <v/>
      </c>
      <c r="H240" s="21">
        <f>IF(A240="","",IFERROR(INDEX(Weight!$B$2:$B$1000,MATCH(IF(_xlfn.MAXIFS(Weight!$A$2:$A$1000,Weight!$A$2:$A$1000,"&lt;="&amp;A240)&gt;0,_xlfn.MAXIFS(Weight!$A$2:$A$1000,Weight!$A$2:$A$1000,"&lt;="&amp;A240),_xlfn.MINIFS(Weight!$A$2:$A$1000,Weight!$A$2:$A$1000,"&gt;0")),Weight!$A$2:$A$1000,0)),Settings!$B$6))</f>
        <v/>
      </c>
      <c r="I240" s="21">
        <f>IF(B240="","",IFERROR(INDEX(Settings!$B$10:$B$21,MATCH(B240,Settings!$A$10:$A$21,0)),4))</f>
        <v/>
      </c>
      <c r="J240" s="22">
        <f>IF(OR(A240="",C240="",I240=""),"",I240*H240*C240/60)</f>
        <v/>
      </c>
    </row>
    <row r="241">
      <c r="A241" s="35" t="n"/>
      <c r="B241" s="33" t="n"/>
      <c r="C241" s="31" t="n"/>
      <c r="D241" s="30" t="n"/>
      <c r="E241" s="33" t="n"/>
      <c r="F241" s="20">
        <f>IF(A241="","",WEEKNUM(A241,21))</f>
        <v/>
      </c>
      <c r="G241" s="21">
        <f>IF(OR(C241="",N(D241)=0),"",C241/D241)</f>
        <v/>
      </c>
      <c r="H241" s="21">
        <f>IF(A241="","",IFERROR(INDEX(Weight!$B$2:$B$1000,MATCH(IF(_xlfn.MAXIFS(Weight!$A$2:$A$1000,Weight!$A$2:$A$1000,"&lt;="&amp;A241)&gt;0,_xlfn.MAXIFS(Weight!$A$2:$A$1000,Weight!$A$2:$A$1000,"&lt;="&amp;A241),_xlfn.MINIFS(Weight!$A$2:$A$1000,Weight!$A$2:$A$1000,"&gt;0")),Weight!$A$2:$A$1000,0)),Settings!$B$6))</f>
        <v/>
      </c>
      <c r="I241" s="21">
        <f>IF(B241="","",IFERROR(INDEX(Settings!$B$10:$B$21,MATCH(B241,Settings!$A$10:$A$21,0)),4))</f>
        <v/>
      </c>
      <c r="J241" s="22">
        <f>IF(OR(A241="",C241="",I241=""),"",I241*H241*C241/60)</f>
        <v/>
      </c>
    </row>
    <row r="242">
      <c r="A242" s="35" t="n"/>
      <c r="B242" s="33" t="n"/>
      <c r="C242" s="31" t="n"/>
      <c r="D242" s="30" t="n"/>
      <c r="E242" s="33" t="n"/>
      <c r="F242" s="20">
        <f>IF(A242="","",WEEKNUM(A242,21))</f>
        <v/>
      </c>
      <c r="G242" s="21">
        <f>IF(OR(C242="",N(D242)=0),"",C242/D242)</f>
        <v/>
      </c>
      <c r="H242" s="21">
        <f>IF(A242="","",IFERROR(INDEX(Weight!$B$2:$B$1000,MATCH(IF(_xlfn.MAXIFS(Weight!$A$2:$A$1000,Weight!$A$2:$A$1000,"&lt;="&amp;A242)&gt;0,_xlfn.MAXIFS(Weight!$A$2:$A$1000,Weight!$A$2:$A$1000,"&lt;="&amp;A242),_xlfn.MINIFS(Weight!$A$2:$A$1000,Weight!$A$2:$A$1000,"&gt;0")),Weight!$A$2:$A$1000,0)),Settings!$B$6))</f>
        <v/>
      </c>
      <c r="I242" s="21">
        <f>IF(B242="","",IFERROR(INDEX(Settings!$B$10:$B$21,MATCH(B242,Settings!$A$10:$A$21,0)),4))</f>
        <v/>
      </c>
      <c r="J242" s="22">
        <f>IF(OR(A242="",C242="",I242=""),"",I242*H242*C242/60)</f>
        <v/>
      </c>
    </row>
    <row r="243">
      <c r="A243" s="35" t="n"/>
      <c r="B243" s="33" t="n"/>
      <c r="C243" s="31" t="n"/>
      <c r="D243" s="30" t="n"/>
      <c r="E243" s="33" t="n"/>
      <c r="F243" s="20">
        <f>IF(A243="","",WEEKNUM(A243,21))</f>
        <v/>
      </c>
      <c r="G243" s="21">
        <f>IF(OR(C243="",N(D243)=0),"",C243/D243)</f>
        <v/>
      </c>
      <c r="H243" s="21">
        <f>IF(A243="","",IFERROR(INDEX(Weight!$B$2:$B$1000,MATCH(IF(_xlfn.MAXIFS(Weight!$A$2:$A$1000,Weight!$A$2:$A$1000,"&lt;="&amp;A243)&gt;0,_xlfn.MAXIFS(Weight!$A$2:$A$1000,Weight!$A$2:$A$1000,"&lt;="&amp;A243),_xlfn.MINIFS(Weight!$A$2:$A$1000,Weight!$A$2:$A$1000,"&gt;0")),Weight!$A$2:$A$1000,0)),Settings!$B$6))</f>
        <v/>
      </c>
      <c r="I243" s="21">
        <f>IF(B243="","",IFERROR(INDEX(Settings!$B$10:$B$21,MATCH(B243,Settings!$A$10:$A$21,0)),4))</f>
        <v/>
      </c>
      <c r="J243" s="22">
        <f>IF(OR(A243="",C243="",I243=""),"",I243*H243*C243/60)</f>
        <v/>
      </c>
    </row>
    <row r="244">
      <c r="A244" s="35" t="n"/>
      <c r="B244" s="33" t="n"/>
      <c r="C244" s="31" t="n"/>
      <c r="D244" s="30" t="n"/>
      <c r="E244" s="33" t="n"/>
      <c r="F244" s="20">
        <f>IF(A244="","",WEEKNUM(A244,21))</f>
        <v/>
      </c>
      <c r="G244" s="21">
        <f>IF(OR(C244="",N(D244)=0),"",C244/D244)</f>
        <v/>
      </c>
      <c r="H244" s="21">
        <f>IF(A244="","",IFERROR(INDEX(Weight!$B$2:$B$1000,MATCH(IF(_xlfn.MAXIFS(Weight!$A$2:$A$1000,Weight!$A$2:$A$1000,"&lt;="&amp;A244)&gt;0,_xlfn.MAXIFS(Weight!$A$2:$A$1000,Weight!$A$2:$A$1000,"&lt;="&amp;A244),_xlfn.MINIFS(Weight!$A$2:$A$1000,Weight!$A$2:$A$1000,"&gt;0")),Weight!$A$2:$A$1000,0)),Settings!$B$6))</f>
        <v/>
      </c>
      <c r="I244" s="21">
        <f>IF(B244="","",IFERROR(INDEX(Settings!$B$10:$B$21,MATCH(B244,Settings!$A$10:$A$21,0)),4))</f>
        <v/>
      </c>
      <c r="J244" s="22">
        <f>IF(OR(A244="",C244="",I244=""),"",I244*H244*C244/60)</f>
        <v/>
      </c>
    </row>
    <row r="245">
      <c r="A245" s="35" t="n"/>
      <c r="B245" s="33" t="n"/>
      <c r="C245" s="31" t="n"/>
      <c r="D245" s="30" t="n"/>
      <c r="E245" s="33" t="n"/>
      <c r="F245" s="20">
        <f>IF(A245="","",WEEKNUM(A245,21))</f>
        <v/>
      </c>
      <c r="G245" s="21">
        <f>IF(OR(C245="",N(D245)=0),"",C245/D245)</f>
        <v/>
      </c>
      <c r="H245" s="21">
        <f>IF(A245="","",IFERROR(INDEX(Weight!$B$2:$B$1000,MATCH(IF(_xlfn.MAXIFS(Weight!$A$2:$A$1000,Weight!$A$2:$A$1000,"&lt;="&amp;A245)&gt;0,_xlfn.MAXIFS(Weight!$A$2:$A$1000,Weight!$A$2:$A$1000,"&lt;="&amp;A245),_xlfn.MINIFS(Weight!$A$2:$A$1000,Weight!$A$2:$A$1000,"&gt;0")),Weight!$A$2:$A$1000,0)),Settings!$B$6))</f>
        <v/>
      </c>
      <c r="I245" s="21">
        <f>IF(B245="","",IFERROR(INDEX(Settings!$B$10:$B$21,MATCH(B245,Settings!$A$10:$A$21,0)),4))</f>
        <v/>
      </c>
      <c r="J245" s="22">
        <f>IF(OR(A245="",C245="",I245=""),"",I245*H245*C245/60)</f>
        <v/>
      </c>
    </row>
    <row r="246">
      <c r="A246" s="35" t="n"/>
      <c r="B246" s="33" t="n"/>
      <c r="C246" s="31" t="n"/>
      <c r="D246" s="30" t="n"/>
      <c r="E246" s="33" t="n"/>
      <c r="F246" s="20">
        <f>IF(A246="","",WEEKNUM(A246,21))</f>
        <v/>
      </c>
      <c r="G246" s="21">
        <f>IF(OR(C246="",N(D246)=0),"",C246/D246)</f>
        <v/>
      </c>
      <c r="H246" s="21">
        <f>IF(A246="","",IFERROR(INDEX(Weight!$B$2:$B$1000,MATCH(IF(_xlfn.MAXIFS(Weight!$A$2:$A$1000,Weight!$A$2:$A$1000,"&lt;="&amp;A246)&gt;0,_xlfn.MAXIFS(Weight!$A$2:$A$1000,Weight!$A$2:$A$1000,"&lt;="&amp;A246),_xlfn.MINIFS(Weight!$A$2:$A$1000,Weight!$A$2:$A$1000,"&gt;0")),Weight!$A$2:$A$1000,0)),Settings!$B$6))</f>
        <v/>
      </c>
      <c r="I246" s="21">
        <f>IF(B246="","",IFERROR(INDEX(Settings!$B$10:$B$21,MATCH(B246,Settings!$A$10:$A$21,0)),4))</f>
        <v/>
      </c>
      <c r="J246" s="22">
        <f>IF(OR(A246="",C246="",I246=""),"",I246*H246*C246/60)</f>
        <v/>
      </c>
    </row>
    <row r="247">
      <c r="A247" s="35" t="n"/>
      <c r="B247" s="33" t="n"/>
      <c r="C247" s="31" t="n"/>
      <c r="D247" s="30" t="n"/>
      <c r="E247" s="33" t="n"/>
      <c r="F247" s="20">
        <f>IF(A247="","",WEEKNUM(A247,21))</f>
        <v/>
      </c>
      <c r="G247" s="21">
        <f>IF(OR(C247="",N(D247)=0),"",C247/D247)</f>
        <v/>
      </c>
      <c r="H247" s="21">
        <f>IF(A247="","",IFERROR(INDEX(Weight!$B$2:$B$1000,MATCH(IF(_xlfn.MAXIFS(Weight!$A$2:$A$1000,Weight!$A$2:$A$1000,"&lt;="&amp;A247)&gt;0,_xlfn.MAXIFS(Weight!$A$2:$A$1000,Weight!$A$2:$A$1000,"&lt;="&amp;A247),_xlfn.MINIFS(Weight!$A$2:$A$1000,Weight!$A$2:$A$1000,"&gt;0")),Weight!$A$2:$A$1000,0)),Settings!$B$6))</f>
        <v/>
      </c>
      <c r="I247" s="21">
        <f>IF(B247="","",IFERROR(INDEX(Settings!$B$10:$B$21,MATCH(B247,Settings!$A$10:$A$21,0)),4))</f>
        <v/>
      </c>
      <c r="J247" s="22">
        <f>IF(OR(A247="",C247="",I247=""),"",I247*H247*C247/60)</f>
        <v/>
      </c>
    </row>
    <row r="248">
      <c r="A248" s="35" t="n"/>
      <c r="B248" s="33" t="n"/>
      <c r="C248" s="31" t="n"/>
      <c r="D248" s="30" t="n"/>
      <c r="E248" s="33" t="n"/>
      <c r="F248" s="20">
        <f>IF(A248="","",WEEKNUM(A248,21))</f>
        <v/>
      </c>
      <c r="G248" s="21">
        <f>IF(OR(C248="",N(D248)=0),"",C248/D248)</f>
        <v/>
      </c>
      <c r="H248" s="21">
        <f>IF(A248="","",IFERROR(INDEX(Weight!$B$2:$B$1000,MATCH(IF(_xlfn.MAXIFS(Weight!$A$2:$A$1000,Weight!$A$2:$A$1000,"&lt;="&amp;A248)&gt;0,_xlfn.MAXIFS(Weight!$A$2:$A$1000,Weight!$A$2:$A$1000,"&lt;="&amp;A248),_xlfn.MINIFS(Weight!$A$2:$A$1000,Weight!$A$2:$A$1000,"&gt;0")),Weight!$A$2:$A$1000,0)),Settings!$B$6))</f>
        <v/>
      </c>
      <c r="I248" s="21">
        <f>IF(B248="","",IFERROR(INDEX(Settings!$B$10:$B$21,MATCH(B248,Settings!$A$10:$A$21,0)),4))</f>
        <v/>
      </c>
      <c r="J248" s="22">
        <f>IF(OR(A248="",C248="",I248=""),"",I248*H248*C248/60)</f>
        <v/>
      </c>
    </row>
    <row r="249">
      <c r="A249" s="35" t="n"/>
      <c r="B249" s="33" t="n"/>
      <c r="C249" s="31" t="n"/>
      <c r="D249" s="30" t="n"/>
      <c r="E249" s="33" t="n"/>
      <c r="F249" s="20">
        <f>IF(A249="","",WEEKNUM(A249,21))</f>
        <v/>
      </c>
      <c r="G249" s="21">
        <f>IF(OR(C249="",N(D249)=0),"",C249/D249)</f>
        <v/>
      </c>
      <c r="H249" s="21">
        <f>IF(A249="","",IFERROR(INDEX(Weight!$B$2:$B$1000,MATCH(IF(_xlfn.MAXIFS(Weight!$A$2:$A$1000,Weight!$A$2:$A$1000,"&lt;="&amp;A249)&gt;0,_xlfn.MAXIFS(Weight!$A$2:$A$1000,Weight!$A$2:$A$1000,"&lt;="&amp;A249),_xlfn.MINIFS(Weight!$A$2:$A$1000,Weight!$A$2:$A$1000,"&gt;0")),Weight!$A$2:$A$1000,0)),Settings!$B$6))</f>
        <v/>
      </c>
      <c r="I249" s="21">
        <f>IF(B249="","",IFERROR(INDEX(Settings!$B$10:$B$21,MATCH(B249,Settings!$A$10:$A$21,0)),4))</f>
        <v/>
      </c>
      <c r="J249" s="22">
        <f>IF(OR(A249="",C249="",I249=""),"",I249*H249*C249/60)</f>
        <v/>
      </c>
    </row>
    <row r="250">
      <c r="A250" s="35" t="n"/>
      <c r="B250" s="33" t="n"/>
      <c r="C250" s="31" t="n"/>
      <c r="D250" s="30" t="n"/>
      <c r="E250" s="33" t="n"/>
      <c r="F250" s="20">
        <f>IF(A250="","",WEEKNUM(A250,21))</f>
        <v/>
      </c>
      <c r="G250" s="21">
        <f>IF(OR(C250="",N(D250)=0),"",C250/D250)</f>
        <v/>
      </c>
      <c r="H250" s="21">
        <f>IF(A250="","",IFERROR(INDEX(Weight!$B$2:$B$1000,MATCH(IF(_xlfn.MAXIFS(Weight!$A$2:$A$1000,Weight!$A$2:$A$1000,"&lt;="&amp;A250)&gt;0,_xlfn.MAXIFS(Weight!$A$2:$A$1000,Weight!$A$2:$A$1000,"&lt;="&amp;A250),_xlfn.MINIFS(Weight!$A$2:$A$1000,Weight!$A$2:$A$1000,"&gt;0")),Weight!$A$2:$A$1000,0)),Settings!$B$6))</f>
        <v/>
      </c>
      <c r="I250" s="21">
        <f>IF(B250="","",IFERROR(INDEX(Settings!$B$10:$B$21,MATCH(B250,Settings!$A$10:$A$21,0)),4))</f>
        <v/>
      </c>
      <c r="J250" s="22">
        <f>IF(OR(A250="",C250="",I250=""),"",I250*H250*C250/60)</f>
        <v/>
      </c>
    </row>
    <row r="251">
      <c r="A251" s="35" t="n"/>
      <c r="B251" s="33" t="n"/>
      <c r="C251" s="31" t="n"/>
      <c r="D251" s="30" t="n"/>
      <c r="E251" s="33" t="n"/>
      <c r="F251" s="20">
        <f>IF(A251="","",WEEKNUM(A251,21))</f>
        <v/>
      </c>
      <c r="G251" s="21">
        <f>IF(OR(C251="",N(D251)=0),"",C251/D251)</f>
        <v/>
      </c>
      <c r="H251" s="21">
        <f>IF(A251="","",IFERROR(INDEX(Weight!$B$2:$B$1000,MATCH(IF(_xlfn.MAXIFS(Weight!$A$2:$A$1000,Weight!$A$2:$A$1000,"&lt;="&amp;A251)&gt;0,_xlfn.MAXIFS(Weight!$A$2:$A$1000,Weight!$A$2:$A$1000,"&lt;="&amp;A251),_xlfn.MINIFS(Weight!$A$2:$A$1000,Weight!$A$2:$A$1000,"&gt;0")),Weight!$A$2:$A$1000,0)),Settings!$B$6))</f>
        <v/>
      </c>
      <c r="I251" s="21">
        <f>IF(B251="","",IFERROR(INDEX(Settings!$B$10:$B$21,MATCH(B251,Settings!$A$10:$A$21,0)),4))</f>
        <v/>
      </c>
      <c r="J251" s="22">
        <f>IF(OR(A251="",C251="",I251=""),"",I251*H251*C251/60)</f>
        <v/>
      </c>
    </row>
    <row r="252">
      <c r="A252" s="35" t="n"/>
      <c r="B252" s="33" t="n"/>
      <c r="C252" s="31" t="n"/>
      <c r="D252" s="30" t="n"/>
      <c r="E252" s="33" t="n"/>
      <c r="F252" s="20">
        <f>IF(A252="","",WEEKNUM(A252,21))</f>
        <v/>
      </c>
      <c r="G252" s="21">
        <f>IF(OR(C252="",N(D252)=0),"",C252/D252)</f>
        <v/>
      </c>
      <c r="H252" s="21">
        <f>IF(A252="","",IFERROR(INDEX(Weight!$B$2:$B$1000,MATCH(IF(_xlfn.MAXIFS(Weight!$A$2:$A$1000,Weight!$A$2:$A$1000,"&lt;="&amp;A252)&gt;0,_xlfn.MAXIFS(Weight!$A$2:$A$1000,Weight!$A$2:$A$1000,"&lt;="&amp;A252),_xlfn.MINIFS(Weight!$A$2:$A$1000,Weight!$A$2:$A$1000,"&gt;0")),Weight!$A$2:$A$1000,0)),Settings!$B$6))</f>
        <v/>
      </c>
      <c r="I252" s="21">
        <f>IF(B252="","",IFERROR(INDEX(Settings!$B$10:$B$21,MATCH(B252,Settings!$A$10:$A$21,0)),4))</f>
        <v/>
      </c>
      <c r="J252" s="22">
        <f>IF(OR(A252="",C252="",I252=""),"",I252*H252*C252/60)</f>
        <v/>
      </c>
    </row>
    <row r="253">
      <c r="A253" s="35" t="n"/>
      <c r="B253" s="33" t="n"/>
      <c r="C253" s="31" t="n"/>
      <c r="D253" s="30" t="n"/>
      <c r="E253" s="33" t="n"/>
      <c r="F253" s="20">
        <f>IF(A253="","",WEEKNUM(A253,21))</f>
        <v/>
      </c>
      <c r="G253" s="21">
        <f>IF(OR(C253="",N(D253)=0),"",C253/D253)</f>
        <v/>
      </c>
      <c r="H253" s="21">
        <f>IF(A253="","",IFERROR(INDEX(Weight!$B$2:$B$1000,MATCH(IF(_xlfn.MAXIFS(Weight!$A$2:$A$1000,Weight!$A$2:$A$1000,"&lt;="&amp;A253)&gt;0,_xlfn.MAXIFS(Weight!$A$2:$A$1000,Weight!$A$2:$A$1000,"&lt;="&amp;A253),_xlfn.MINIFS(Weight!$A$2:$A$1000,Weight!$A$2:$A$1000,"&gt;0")),Weight!$A$2:$A$1000,0)),Settings!$B$6))</f>
        <v/>
      </c>
      <c r="I253" s="21">
        <f>IF(B253="","",IFERROR(INDEX(Settings!$B$10:$B$21,MATCH(B253,Settings!$A$10:$A$21,0)),4))</f>
        <v/>
      </c>
      <c r="J253" s="22">
        <f>IF(OR(A253="",C253="",I253=""),"",I253*H253*C253/60)</f>
        <v/>
      </c>
    </row>
    <row r="254">
      <c r="A254" s="35" t="n"/>
      <c r="B254" s="33" t="n"/>
      <c r="C254" s="31" t="n"/>
      <c r="D254" s="30" t="n"/>
      <c r="E254" s="33" t="n"/>
      <c r="F254" s="20">
        <f>IF(A254="","",WEEKNUM(A254,21))</f>
        <v/>
      </c>
      <c r="G254" s="21">
        <f>IF(OR(C254="",N(D254)=0),"",C254/D254)</f>
        <v/>
      </c>
      <c r="H254" s="21">
        <f>IF(A254="","",IFERROR(INDEX(Weight!$B$2:$B$1000,MATCH(IF(_xlfn.MAXIFS(Weight!$A$2:$A$1000,Weight!$A$2:$A$1000,"&lt;="&amp;A254)&gt;0,_xlfn.MAXIFS(Weight!$A$2:$A$1000,Weight!$A$2:$A$1000,"&lt;="&amp;A254),_xlfn.MINIFS(Weight!$A$2:$A$1000,Weight!$A$2:$A$1000,"&gt;0")),Weight!$A$2:$A$1000,0)),Settings!$B$6))</f>
        <v/>
      </c>
      <c r="I254" s="21">
        <f>IF(B254="","",IFERROR(INDEX(Settings!$B$10:$B$21,MATCH(B254,Settings!$A$10:$A$21,0)),4))</f>
        <v/>
      </c>
      <c r="J254" s="22">
        <f>IF(OR(A254="",C254="",I254=""),"",I254*H254*C254/60)</f>
        <v/>
      </c>
    </row>
    <row r="255">
      <c r="A255" s="35" t="n"/>
      <c r="B255" s="33" t="n"/>
      <c r="C255" s="31" t="n"/>
      <c r="D255" s="30" t="n"/>
      <c r="E255" s="33" t="n"/>
      <c r="F255" s="20">
        <f>IF(A255="","",WEEKNUM(A255,21))</f>
        <v/>
      </c>
      <c r="G255" s="21">
        <f>IF(OR(C255="",N(D255)=0),"",C255/D255)</f>
        <v/>
      </c>
      <c r="H255" s="21">
        <f>IF(A255="","",IFERROR(INDEX(Weight!$B$2:$B$1000,MATCH(IF(_xlfn.MAXIFS(Weight!$A$2:$A$1000,Weight!$A$2:$A$1000,"&lt;="&amp;A255)&gt;0,_xlfn.MAXIFS(Weight!$A$2:$A$1000,Weight!$A$2:$A$1000,"&lt;="&amp;A255),_xlfn.MINIFS(Weight!$A$2:$A$1000,Weight!$A$2:$A$1000,"&gt;0")),Weight!$A$2:$A$1000,0)),Settings!$B$6))</f>
        <v/>
      </c>
      <c r="I255" s="21">
        <f>IF(B255="","",IFERROR(INDEX(Settings!$B$10:$B$21,MATCH(B255,Settings!$A$10:$A$21,0)),4))</f>
        <v/>
      </c>
      <c r="J255" s="22">
        <f>IF(OR(A255="",C255="",I255=""),"",I255*H255*C255/60)</f>
        <v/>
      </c>
    </row>
    <row r="256">
      <c r="A256" s="35" t="n"/>
      <c r="B256" s="33" t="n"/>
      <c r="C256" s="31" t="n"/>
      <c r="D256" s="30" t="n"/>
      <c r="E256" s="33" t="n"/>
      <c r="F256" s="20">
        <f>IF(A256="","",WEEKNUM(A256,21))</f>
        <v/>
      </c>
      <c r="G256" s="21">
        <f>IF(OR(C256="",N(D256)=0),"",C256/D256)</f>
        <v/>
      </c>
      <c r="H256" s="21">
        <f>IF(A256="","",IFERROR(INDEX(Weight!$B$2:$B$1000,MATCH(IF(_xlfn.MAXIFS(Weight!$A$2:$A$1000,Weight!$A$2:$A$1000,"&lt;="&amp;A256)&gt;0,_xlfn.MAXIFS(Weight!$A$2:$A$1000,Weight!$A$2:$A$1000,"&lt;="&amp;A256),_xlfn.MINIFS(Weight!$A$2:$A$1000,Weight!$A$2:$A$1000,"&gt;0")),Weight!$A$2:$A$1000,0)),Settings!$B$6))</f>
        <v/>
      </c>
      <c r="I256" s="21">
        <f>IF(B256="","",IFERROR(INDEX(Settings!$B$10:$B$21,MATCH(B256,Settings!$A$10:$A$21,0)),4))</f>
        <v/>
      </c>
      <c r="J256" s="22">
        <f>IF(OR(A256="",C256="",I256=""),"",I256*H256*C256/60)</f>
        <v/>
      </c>
    </row>
    <row r="257">
      <c r="A257" s="35" t="n"/>
      <c r="B257" s="33" t="n"/>
      <c r="C257" s="31" t="n"/>
      <c r="D257" s="30" t="n"/>
      <c r="E257" s="33" t="n"/>
      <c r="F257" s="20">
        <f>IF(A257="","",WEEKNUM(A257,21))</f>
        <v/>
      </c>
      <c r="G257" s="21">
        <f>IF(OR(C257="",N(D257)=0),"",C257/D257)</f>
        <v/>
      </c>
      <c r="H257" s="21">
        <f>IF(A257="","",IFERROR(INDEX(Weight!$B$2:$B$1000,MATCH(IF(_xlfn.MAXIFS(Weight!$A$2:$A$1000,Weight!$A$2:$A$1000,"&lt;="&amp;A257)&gt;0,_xlfn.MAXIFS(Weight!$A$2:$A$1000,Weight!$A$2:$A$1000,"&lt;="&amp;A257),_xlfn.MINIFS(Weight!$A$2:$A$1000,Weight!$A$2:$A$1000,"&gt;0")),Weight!$A$2:$A$1000,0)),Settings!$B$6))</f>
        <v/>
      </c>
      <c r="I257" s="21">
        <f>IF(B257="","",IFERROR(INDEX(Settings!$B$10:$B$21,MATCH(B257,Settings!$A$10:$A$21,0)),4))</f>
        <v/>
      </c>
      <c r="J257" s="22">
        <f>IF(OR(A257="",C257="",I257=""),"",I257*H257*C257/60)</f>
        <v/>
      </c>
    </row>
    <row r="258">
      <c r="A258" s="35" t="n"/>
      <c r="B258" s="33" t="n"/>
      <c r="C258" s="31" t="n"/>
      <c r="D258" s="30" t="n"/>
      <c r="E258" s="33" t="n"/>
      <c r="F258" s="20">
        <f>IF(A258="","",WEEKNUM(A258,21))</f>
        <v/>
      </c>
      <c r="G258" s="21">
        <f>IF(OR(C258="",N(D258)=0),"",C258/D258)</f>
        <v/>
      </c>
      <c r="H258" s="21">
        <f>IF(A258="","",IFERROR(INDEX(Weight!$B$2:$B$1000,MATCH(IF(_xlfn.MAXIFS(Weight!$A$2:$A$1000,Weight!$A$2:$A$1000,"&lt;="&amp;A258)&gt;0,_xlfn.MAXIFS(Weight!$A$2:$A$1000,Weight!$A$2:$A$1000,"&lt;="&amp;A258),_xlfn.MINIFS(Weight!$A$2:$A$1000,Weight!$A$2:$A$1000,"&gt;0")),Weight!$A$2:$A$1000,0)),Settings!$B$6))</f>
        <v/>
      </c>
      <c r="I258" s="21">
        <f>IF(B258="","",IFERROR(INDEX(Settings!$B$10:$B$21,MATCH(B258,Settings!$A$10:$A$21,0)),4))</f>
        <v/>
      </c>
      <c r="J258" s="22">
        <f>IF(OR(A258="",C258="",I258=""),"",I258*H258*C258/60)</f>
        <v/>
      </c>
    </row>
    <row r="259">
      <c r="A259" s="35" t="n"/>
      <c r="B259" s="33" t="n"/>
      <c r="C259" s="31" t="n"/>
      <c r="D259" s="30" t="n"/>
      <c r="E259" s="33" t="n"/>
      <c r="F259" s="20">
        <f>IF(A259="","",WEEKNUM(A259,21))</f>
        <v/>
      </c>
      <c r="G259" s="21">
        <f>IF(OR(C259="",N(D259)=0),"",C259/D259)</f>
        <v/>
      </c>
      <c r="H259" s="21">
        <f>IF(A259="","",IFERROR(INDEX(Weight!$B$2:$B$1000,MATCH(IF(_xlfn.MAXIFS(Weight!$A$2:$A$1000,Weight!$A$2:$A$1000,"&lt;="&amp;A259)&gt;0,_xlfn.MAXIFS(Weight!$A$2:$A$1000,Weight!$A$2:$A$1000,"&lt;="&amp;A259),_xlfn.MINIFS(Weight!$A$2:$A$1000,Weight!$A$2:$A$1000,"&gt;0")),Weight!$A$2:$A$1000,0)),Settings!$B$6))</f>
        <v/>
      </c>
      <c r="I259" s="21">
        <f>IF(B259="","",IFERROR(INDEX(Settings!$B$10:$B$21,MATCH(B259,Settings!$A$10:$A$21,0)),4))</f>
        <v/>
      </c>
      <c r="J259" s="22">
        <f>IF(OR(A259="",C259="",I259=""),"",I259*H259*C259/60)</f>
        <v/>
      </c>
    </row>
    <row r="260">
      <c r="A260" s="35" t="n"/>
      <c r="B260" s="33" t="n"/>
      <c r="C260" s="31" t="n"/>
      <c r="D260" s="30" t="n"/>
      <c r="E260" s="33" t="n"/>
      <c r="F260" s="20">
        <f>IF(A260="","",WEEKNUM(A260,21))</f>
        <v/>
      </c>
      <c r="G260" s="21">
        <f>IF(OR(C260="",N(D260)=0),"",C260/D260)</f>
        <v/>
      </c>
      <c r="H260" s="21">
        <f>IF(A260="","",IFERROR(INDEX(Weight!$B$2:$B$1000,MATCH(IF(_xlfn.MAXIFS(Weight!$A$2:$A$1000,Weight!$A$2:$A$1000,"&lt;="&amp;A260)&gt;0,_xlfn.MAXIFS(Weight!$A$2:$A$1000,Weight!$A$2:$A$1000,"&lt;="&amp;A260),_xlfn.MINIFS(Weight!$A$2:$A$1000,Weight!$A$2:$A$1000,"&gt;0")),Weight!$A$2:$A$1000,0)),Settings!$B$6))</f>
        <v/>
      </c>
      <c r="I260" s="21">
        <f>IF(B260="","",IFERROR(INDEX(Settings!$B$10:$B$21,MATCH(B260,Settings!$A$10:$A$21,0)),4))</f>
        <v/>
      </c>
      <c r="J260" s="22">
        <f>IF(OR(A260="",C260="",I260=""),"",I260*H260*C260/60)</f>
        <v/>
      </c>
    </row>
    <row r="261">
      <c r="A261" s="35" t="n"/>
      <c r="B261" s="33" t="n"/>
      <c r="C261" s="31" t="n"/>
      <c r="D261" s="30" t="n"/>
      <c r="E261" s="33" t="n"/>
      <c r="F261" s="20">
        <f>IF(A261="","",WEEKNUM(A261,21))</f>
        <v/>
      </c>
      <c r="G261" s="21">
        <f>IF(OR(C261="",N(D261)=0),"",C261/D261)</f>
        <v/>
      </c>
      <c r="H261" s="21">
        <f>IF(A261="","",IFERROR(INDEX(Weight!$B$2:$B$1000,MATCH(IF(_xlfn.MAXIFS(Weight!$A$2:$A$1000,Weight!$A$2:$A$1000,"&lt;="&amp;A261)&gt;0,_xlfn.MAXIFS(Weight!$A$2:$A$1000,Weight!$A$2:$A$1000,"&lt;="&amp;A261),_xlfn.MINIFS(Weight!$A$2:$A$1000,Weight!$A$2:$A$1000,"&gt;0")),Weight!$A$2:$A$1000,0)),Settings!$B$6))</f>
        <v/>
      </c>
      <c r="I261" s="21">
        <f>IF(B261="","",IFERROR(INDEX(Settings!$B$10:$B$21,MATCH(B261,Settings!$A$10:$A$21,0)),4))</f>
        <v/>
      </c>
      <c r="J261" s="22">
        <f>IF(OR(A261="",C261="",I261=""),"",I261*H261*C261/60)</f>
        <v/>
      </c>
    </row>
    <row r="262">
      <c r="A262" s="35" t="n"/>
      <c r="B262" s="33" t="n"/>
      <c r="C262" s="31" t="n"/>
      <c r="D262" s="30" t="n"/>
      <c r="E262" s="33" t="n"/>
      <c r="F262" s="20">
        <f>IF(A262="","",WEEKNUM(A262,21))</f>
        <v/>
      </c>
      <c r="G262" s="21">
        <f>IF(OR(C262="",N(D262)=0),"",C262/D262)</f>
        <v/>
      </c>
      <c r="H262" s="21">
        <f>IF(A262="","",IFERROR(INDEX(Weight!$B$2:$B$1000,MATCH(IF(_xlfn.MAXIFS(Weight!$A$2:$A$1000,Weight!$A$2:$A$1000,"&lt;="&amp;A262)&gt;0,_xlfn.MAXIFS(Weight!$A$2:$A$1000,Weight!$A$2:$A$1000,"&lt;="&amp;A262),_xlfn.MINIFS(Weight!$A$2:$A$1000,Weight!$A$2:$A$1000,"&gt;0")),Weight!$A$2:$A$1000,0)),Settings!$B$6))</f>
        <v/>
      </c>
      <c r="I262" s="21">
        <f>IF(B262="","",IFERROR(INDEX(Settings!$B$10:$B$21,MATCH(B262,Settings!$A$10:$A$21,0)),4))</f>
        <v/>
      </c>
      <c r="J262" s="22">
        <f>IF(OR(A262="",C262="",I262=""),"",I262*H262*C262/60)</f>
        <v/>
      </c>
    </row>
    <row r="263">
      <c r="A263" s="35" t="n"/>
      <c r="B263" s="33" t="n"/>
      <c r="C263" s="31" t="n"/>
      <c r="D263" s="30" t="n"/>
      <c r="E263" s="33" t="n"/>
      <c r="F263" s="20">
        <f>IF(A263="","",WEEKNUM(A263,21))</f>
        <v/>
      </c>
      <c r="G263" s="21">
        <f>IF(OR(C263="",N(D263)=0),"",C263/D263)</f>
        <v/>
      </c>
      <c r="H263" s="21">
        <f>IF(A263="","",IFERROR(INDEX(Weight!$B$2:$B$1000,MATCH(IF(_xlfn.MAXIFS(Weight!$A$2:$A$1000,Weight!$A$2:$A$1000,"&lt;="&amp;A263)&gt;0,_xlfn.MAXIFS(Weight!$A$2:$A$1000,Weight!$A$2:$A$1000,"&lt;="&amp;A263),_xlfn.MINIFS(Weight!$A$2:$A$1000,Weight!$A$2:$A$1000,"&gt;0")),Weight!$A$2:$A$1000,0)),Settings!$B$6))</f>
        <v/>
      </c>
      <c r="I263" s="21">
        <f>IF(B263="","",IFERROR(INDEX(Settings!$B$10:$B$21,MATCH(B263,Settings!$A$10:$A$21,0)),4))</f>
        <v/>
      </c>
      <c r="J263" s="22">
        <f>IF(OR(A263="",C263="",I263=""),"",I263*H263*C263/60)</f>
        <v/>
      </c>
    </row>
    <row r="264">
      <c r="A264" s="35" t="n"/>
      <c r="B264" s="33" t="n"/>
      <c r="C264" s="31" t="n"/>
      <c r="D264" s="30" t="n"/>
      <c r="E264" s="33" t="n"/>
      <c r="F264" s="20">
        <f>IF(A264="","",WEEKNUM(A264,21))</f>
        <v/>
      </c>
      <c r="G264" s="21">
        <f>IF(OR(C264="",N(D264)=0),"",C264/D264)</f>
        <v/>
      </c>
      <c r="H264" s="21">
        <f>IF(A264="","",IFERROR(INDEX(Weight!$B$2:$B$1000,MATCH(IF(_xlfn.MAXIFS(Weight!$A$2:$A$1000,Weight!$A$2:$A$1000,"&lt;="&amp;A264)&gt;0,_xlfn.MAXIFS(Weight!$A$2:$A$1000,Weight!$A$2:$A$1000,"&lt;="&amp;A264),_xlfn.MINIFS(Weight!$A$2:$A$1000,Weight!$A$2:$A$1000,"&gt;0")),Weight!$A$2:$A$1000,0)),Settings!$B$6))</f>
        <v/>
      </c>
      <c r="I264" s="21">
        <f>IF(B264="","",IFERROR(INDEX(Settings!$B$10:$B$21,MATCH(B264,Settings!$A$10:$A$21,0)),4))</f>
        <v/>
      </c>
      <c r="J264" s="22">
        <f>IF(OR(A264="",C264="",I264=""),"",I264*H264*C264/60)</f>
        <v/>
      </c>
    </row>
    <row r="265">
      <c r="A265" s="35" t="n"/>
      <c r="B265" s="33" t="n"/>
      <c r="C265" s="31" t="n"/>
      <c r="D265" s="30" t="n"/>
      <c r="E265" s="33" t="n"/>
      <c r="F265" s="20">
        <f>IF(A265="","",WEEKNUM(A265,21))</f>
        <v/>
      </c>
      <c r="G265" s="21">
        <f>IF(OR(C265="",N(D265)=0),"",C265/D265)</f>
        <v/>
      </c>
      <c r="H265" s="21">
        <f>IF(A265="","",IFERROR(INDEX(Weight!$B$2:$B$1000,MATCH(IF(_xlfn.MAXIFS(Weight!$A$2:$A$1000,Weight!$A$2:$A$1000,"&lt;="&amp;A265)&gt;0,_xlfn.MAXIFS(Weight!$A$2:$A$1000,Weight!$A$2:$A$1000,"&lt;="&amp;A265),_xlfn.MINIFS(Weight!$A$2:$A$1000,Weight!$A$2:$A$1000,"&gt;0")),Weight!$A$2:$A$1000,0)),Settings!$B$6))</f>
        <v/>
      </c>
      <c r="I265" s="21">
        <f>IF(B265="","",IFERROR(INDEX(Settings!$B$10:$B$21,MATCH(B265,Settings!$A$10:$A$21,0)),4))</f>
        <v/>
      </c>
      <c r="J265" s="22">
        <f>IF(OR(A265="",C265="",I265=""),"",I265*H265*C265/60)</f>
        <v/>
      </c>
    </row>
    <row r="266">
      <c r="A266" s="35" t="n"/>
      <c r="B266" s="33" t="n"/>
      <c r="C266" s="31" t="n"/>
      <c r="D266" s="30" t="n"/>
      <c r="E266" s="33" t="n"/>
      <c r="F266" s="20">
        <f>IF(A266="","",WEEKNUM(A266,21))</f>
        <v/>
      </c>
      <c r="G266" s="21">
        <f>IF(OR(C266="",N(D266)=0),"",C266/D266)</f>
        <v/>
      </c>
      <c r="H266" s="21">
        <f>IF(A266="","",IFERROR(INDEX(Weight!$B$2:$B$1000,MATCH(IF(_xlfn.MAXIFS(Weight!$A$2:$A$1000,Weight!$A$2:$A$1000,"&lt;="&amp;A266)&gt;0,_xlfn.MAXIFS(Weight!$A$2:$A$1000,Weight!$A$2:$A$1000,"&lt;="&amp;A266),_xlfn.MINIFS(Weight!$A$2:$A$1000,Weight!$A$2:$A$1000,"&gt;0")),Weight!$A$2:$A$1000,0)),Settings!$B$6))</f>
        <v/>
      </c>
      <c r="I266" s="21">
        <f>IF(B266="","",IFERROR(INDEX(Settings!$B$10:$B$21,MATCH(B266,Settings!$A$10:$A$21,0)),4))</f>
        <v/>
      </c>
      <c r="J266" s="22">
        <f>IF(OR(A266="",C266="",I266=""),"",I266*H266*C266/60)</f>
        <v/>
      </c>
    </row>
    <row r="267">
      <c r="A267" s="35" t="n"/>
      <c r="B267" s="33" t="n"/>
      <c r="C267" s="31" t="n"/>
      <c r="D267" s="30" t="n"/>
      <c r="E267" s="33" t="n"/>
      <c r="F267" s="20">
        <f>IF(A267="","",WEEKNUM(A267,21))</f>
        <v/>
      </c>
      <c r="G267" s="21">
        <f>IF(OR(C267="",N(D267)=0),"",C267/D267)</f>
        <v/>
      </c>
      <c r="H267" s="21">
        <f>IF(A267="","",IFERROR(INDEX(Weight!$B$2:$B$1000,MATCH(IF(_xlfn.MAXIFS(Weight!$A$2:$A$1000,Weight!$A$2:$A$1000,"&lt;="&amp;A267)&gt;0,_xlfn.MAXIFS(Weight!$A$2:$A$1000,Weight!$A$2:$A$1000,"&lt;="&amp;A267),_xlfn.MINIFS(Weight!$A$2:$A$1000,Weight!$A$2:$A$1000,"&gt;0")),Weight!$A$2:$A$1000,0)),Settings!$B$6))</f>
        <v/>
      </c>
      <c r="I267" s="21">
        <f>IF(B267="","",IFERROR(INDEX(Settings!$B$10:$B$21,MATCH(B267,Settings!$A$10:$A$21,0)),4))</f>
        <v/>
      </c>
      <c r="J267" s="22">
        <f>IF(OR(A267="",C267="",I267=""),"",I267*H267*C267/60)</f>
        <v/>
      </c>
    </row>
    <row r="268">
      <c r="A268" s="35" t="n"/>
      <c r="B268" s="33" t="n"/>
      <c r="C268" s="31" t="n"/>
      <c r="D268" s="30" t="n"/>
      <c r="E268" s="33" t="n"/>
      <c r="F268" s="20">
        <f>IF(A268="","",WEEKNUM(A268,21))</f>
        <v/>
      </c>
      <c r="G268" s="21">
        <f>IF(OR(C268="",N(D268)=0),"",C268/D268)</f>
        <v/>
      </c>
      <c r="H268" s="21">
        <f>IF(A268="","",IFERROR(INDEX(Weight!$B$2:$B$1000,MATCH(IF(_xlfn.MAXIFS(Weight!$A$2:$A$1000,Weight!$A$2:$A$1000,"&lt;="&amp;A268)&gt;0,_xlfn.MAXIFS(Weight!$A$2:$A$1000,Weight!$A$2:$A$1000,"&lt;="&amp;A268),_xlfn.MINIFS(Weight!$A$2:$A$1000,Weight!$A$2:$A$1000,"&gt;0")),Weight!$A$2:$A$1000,0)),Settings!$B$6))</f>
        <v/>
      </c>
      <c r="I268" s="21">
        <f>IF(B268="","",IFERROR(INDEX(Settings!$B$10:$B$21,MATCH(B268,Settings!$A$10:$A$21,0)),4))</f>
        <v/>
      </c>
      <c r="J268" s="22">
        <f>IF(OR(A268="",C268="",I268=""),"",I268*H268*C268/60)</f>
        <v/>
      </c>
    </row>
    <row r="269">
      <c r="A269" s="35" t="n"/>
      <c r="B269" s="33" t="n"/>
      <c r="C269" s="31" t="n"/>
      <c r="D269" s="30" t="n"/>
      <c r="E269" s="33" t="n"/>
      <c r="F269" s="20">
        <f>IF(A269="","",WEEKNUM(A269,21))</f>
        <v/>
      </c>
      <c r="G269" s="21">
        <f>IF(OR(C269="",N(D269)=0),"",C269/D269)</f>
        <v/>
      </c>
      <c r="H269" s="21">
        <f>IF(A269="","",IFERROR(INDEX(Weight!$B$2:$B$1000,MATCH(IF(_xlfn.MAXIFS(Weight!$A$2:$A$1000,Weight!$A$2:$A$1000,"&lt;="&amp;A269)&gt;0,_xlfn.MAXIFS(Weight!$A$2:$A$1000,Weight!$A$2:$A$1000,"&lt;="&amp;A269),_xlfn.MINIFS(Weight!$A$2:$A$1000,Weight!$A$2:$A$1000,"&gt;0")),Weight!$A$2:$A$1000,0)),Settings!$B$6))</f>
        <v/>
      </c>
      <c r="I269" s="21">
        <f>IF(B269="","",IFERROR(INDEX(Settings!$B$10:$B$21,MATCH(B269,Settings!$A$10:$A$21,0)),4))</f>
        <v/>
      </c>
      <c r="J269" s="22">
        <f>IF(OR(A269="",C269="",I269=""),"",I269*H269*C269/60)</f>
        <v/>
      </c>
    </row>
    <row r="270">
      <c r="A270" s="35" t="n"/>
      <c r="B270" s="33" t="n"/>
      <c r="C270" s="31" t="n"/>
      <c r="D270" s="30" t="n"/>
      <c r="E270" s="33" t="n"/>
      <c r="F270" s="20">
        <f>IF(A270="","",WEEKNUM(A270,21))</f>
        <v/>
      </c>
      <c r="G270" s="21">
        <f>IF(OR(C270="",N(D270)=0),"",C270/D270)</f>
        <v/>
      </c>
      <c r="H270" s="21">
        <f>IF(A270="","",IFERROR(INDEX(Weight!$B$2:$B$1000,MATCH(IF(_xlfn.MAXIFS(Weight!$A$2:$A$1000,Weight!$A$2:$A$1000,"&lt;="&amp;A270)&gt;0,_xlfn.MAXIFS(Weight!$A$2:$A$1000,Weight!$A$2:$A$1000,"&lt;="&amp;A270),_xlfn.MINIFS(Weight!$A$2:$A$1000,Weight!$A$2:$A$1000,"&gt;0")),Weight!$A$2:$A$1000,0)),Settings!$B$6))</f>
        <v/>
      </c>
      <c r="I270" s="21">
        <f>IF(B270="","",IFERROR(INDEX(Settings!$B$10:$B$21,MATCH(B270,Settings!$A$10:$A$21,0)),4))</f>
        <v/>
      </c>
      <c r="J270" s="22">
        <f>IF(OR(A270="",C270="",I270=""),"",I270*H270*C270/60)</f>
        <v/>
      </c>
    </row>
    <row r="271">
      <c r="A271" s="35" t="n"/>
      <c r="B271" s="33" t="n"/>
      <c r="C271" s="31" t="n"/>
      <c r="D271" s="30" t="n"/>
      <c r="E271" s="33" t="n"/>
      <c r="F271" s="20">
        <f>IF(A271="","",WEEKNUM(A271,21))</f>
        <v/>
      </c>
      <c r="G271" s="21">
        <f>IF(OR(C271="",N(D271)=0),"",C271/D271)</f>
        <v/>
      </c>
      <c r="H271" s="21">
        <f>IF(A271="","",IFERROR(INDEX(Weight!$B$2:$B$1000,MATCH(IF(_xlfn.MAXIFS(Weight!$A$2:$A$1000,Weight!$A$2:$A$1000,"&lt;="&amp;A271)&gt;0,_xlfn.MAXIFS(Weight!$A$2:$A$1000,Weight!$A$2:$A$1000,"&lt;="&amp;A271),_xlfn.MINIFS(Weight!$A$2:$A$1000,Weight!$A$2:$A$1000,"&gt;0")),Weight!$A$2:$A$1000,0)),Settings!$B$6))</f>
        <v/>
      </c>
      <c r="I271" s="21">
        <f>IF(B271="","",IFERROR(INDEX(Settings!$B$10:$B$21,MATCH(B271,Settings!$A$10:$A$21,0)),4))</f>
        <v/>
      </c>
      <c r="J271" s="22">
        <f>IF(OR(A271="",C271="",I271=""),"",I271*H271*C271/60)</f>
        <v/>
      </c>
    </row>
    <row r="272">
      <c r="A272" s="35" t="n"/>
      <c r="B272" s="33" t="n"/>
      <c r="C272" s="31" t="n"/>
      <c r="D272" s="30" t="n"/>
      <c r="E272" s="33" t="n"/>
      <c r="F272" s="20">
        <f>IF(A272="","",WEEKNUM(A272,21))</f>
        <v/>
      </c>
      <c r="G272" s="21">
        <f>IF(OR(C272="",N(D272)=0),"",C272/D272)</f>
        <v/>
      </c>
      <c r="H272" s="21">
        <f>IF(A272="","",IFERROR(INDEX(Weight!$B$2:$B$1000,MATCH(IF(_xlfn.MAXIFS(Weight!$A$2:$A$1000,Weight!$A$2:$A$1000,"&lt;="&amp;A272)&gt;0,_xlfn.MAXIFS(Weight!$A$2:$A$1000,Weight!$A$2:$A$1000,"&lt;="&amp;A272),_xlfn.MINIFS(Weight!$A$2:$A$1000,Weight!$A$2:$A$1000,"&gt;0")),Weight!$A$2:$A$1000,0)),Settings!$B$6))</f>
        <v/>
      </c>
      <c r="I272" s="21">
        <f>IF(B272="","",IFERROR(INDEX(Settings!$B$10:$B$21,MATCH(B272,Settings!$A$10:$A$21,0)),4))</f>
        <v/>
      </c>
      <c r="J272" s="22">
        <f>IF(OR(A272="",C272="",I272=""),"",I272*H272*C272/60)</f>
        <v/>
      </c>
    </row>
    <row r="273">
      <c r="A273" s="35" t="n"/>
      <c r="B273" s="33" t="n"/>
      <c r="C273" s="31" t="n"/>
      <c r="D273" s="30" t="n"/>
      <c r="E273" s="33" t="n"/>
      <c r="F273" s="20">
        <f>IF(A273="","",WEEKNUM(A273,21))</f>
        <v/>
      </c>
      <c r="G273" s="21">
        <f>IF(OR(C273="",N(D273)=0),"",C273/D273)</f>
        <v/>
      </c>
      <c r="H273" s="21">
        <f>IF(A273="","",IFERROR(INDEX(Weight!$B$2:$B$1000,MATCH(IF(_xlfn.MAXIFS(Weight!$A$2:$A$1000,Weight!$A$2:$A$1000,"&lt;="&amp;A273)&gt;0,_xlfn.MAXIFS(Weight!$A$2:$A$1000,Weight!$A$2:$A$1000,"&lt;="&amp;A273),_xlfn.MINIFS(Weight!$A$2:$A$1000,Weight!$A$2:$A$1000,"&gt;0")),Weight!$A$2:$A$1000,0)),Settings!$B$6))</f>
        <v/>
      </c>
      <c r="I273" s="21">
        <f>IF(B273="","",IFERROR(INDEX(Settings!$B$10:$B$21,MATCH(B273,Settings!$A$10:$A$21,0)),4))</f>
        <v/>
      </c>
      <c r="J273" s="22">
        <f>IF(OR(A273="",C273="",I273=""),"",I273*H273*C273/60)</f>
        <v/>
      </c>
    </row>
    <row r="274">
      <c r="A274" s="35" t="n"/>
      <c r="B274" s="33" t="n"/>
      <c r="C274" s="31" t="n"/>
      <c r="D274" s="30" t="n"/>
      <c r="E274" s="33" t="n"/>
      <c r="F274" s="20">
        <f>IF(A274="","",WEEKNUM(A274,21))</f>
        <v/>
      </c>
      <c r="G274" s="21">
        <f>IF(OR(C274="",N(D274)=0),"",C274/D274)</f>
        <v/>
      </c>
      <c r="H274" s="21">
        <f>IF(A274="","",IFERROR(INDEX(Weight!$B$2:$B$1000,MATCH(IF(_xlfn.MAXIFS(Weight!$A$2:$A$1000,Weight!$A$2:$A$1000,"&lt;="&amp;A274)&gt;0,_xlfn.MAXIFS(Weight!$A$2:$A$1000,Weight!$A$2:$A$1000,"&lt;="&amp;A274),_xlfn.MINIFS(Weight!$A$2:$A$1000,Weight!$A$2:$A$1000,"&gt;0")),Weight!$A$2:$A$1000,0)),Settings!$B$6))</f>
        <v/>
      </c>
      <c r="I274" s="21">
        <f>IF(B274="","",IFERROR(INDEX(Settings!$B$10:$B$21,MATCH(B274,Settings!$A$10:$A$21,0)),4))</f>
        <v/>
      </c>
      <c r="J274" s="22">
        <f>IF(OR(A274="",C274="",I274=""),"",I274*H274*C274/60)</f>
        <v/>
      </c>
    </row>
    <row r="275">
      <c r="A275" s="35" t="n"/>
      <c r="B275" s="33" t="n"/>
      <c r="C275" s="31" t="n"/>
      <c r="D275" s="30" t="n"/>
      <c r="E275" s="33" t="n"/>
      <c r="F275" s="20">
        <f>IF(A275="","",WEEKNUM(A275,21))</f>
        <v/>
      </c>
      <c r="G275" s="21">
        <f>IF(OR(C275="",N(D275)=0),"",C275/D275)</f>
        <v/>
      </c>
      <c r="H275" s="21">
        <f>IF(A275="","",IFERROR(INDEX(Weight!$B$2:$B$1000,MATCH(IF(_xlfn.MAXIFS(Weight!$A$2:$A$1000,Weight!$A$2:$A$1000,"&lt;="&amp;A275)&gt;0,_xlfn.MAXIFS(Weight!$A$2:$A$1000,Weight!$A$2:$A$1000,"&lt;="&amp;A275),_xlfn.MINIFS(Weight!$A$2:$A$1000,Weight!$A$2:$A$1000,"&gt;0")),Weight!$A$2:$A$1000,0)),Settings!$B$6))</f>
        <v/>
      </c>
      <c r="I275" s="21">
        <f>IF(B275="","",IFERROR(INDEX(Settings!$B$10:$B$21,MATCH(B275,Settings!$A$10:$A$21,0)),4))</f>
        <v/>
      </c>
      <c r="J275" s="22">
        <f>IF(OR(A275="",C275="",I275=""),"",I275*H275*C275/60)</f>
        <v/>
      </c>
    </row>
    <row r="276">
      <c r="A276" s="35" t="n"/>
      <c r="B276" s="33" t="n"/>
      <c r="C276" s="31" t="n"/>
      <c r="D276" s="30" t="n"/>
      <c r="E276" s="33" t="n"/>
      <c r="F276" s="20">
        <f>IF(A276="","",WEEKNUM(A276,21))</f>
        <v/>
      </c>
      <c r="G276" s="21">
        <f>IF(OR(C276="",N(D276)=0),"",C276/D276)</f>
        <v/>
      </c>
      <c r="H276" s="21">
        <f>IF(A276="","",IFERROR(INDEX(Weight!$B$2:$B$1000,MATCH(IF(_xlfn.MAXIFS(Weight!$A$2:$A$1000,Weight!$A$2:$A$1000,"&lt;="&amp;A276)&gt;0,_xlfn.MAXIFS(Weight!$A$2:$A$1000,Weight!$A$2:$A$1000,"&lt;="&amp;A276),_xlfn.MINIFS(Weight!$A$2:$A$1000,Weight!$A$2:$A$1000,"&gt;0")),Weight!$A$2:$A$1000,0)),Settings!$B$6))</f>
        <v/>
      </c>
      <c r="I276" s="21">
        <f>IF(B276="","",IFERROR(INDEX(Settings!$B$10:$B$21,MATCH(B276,Settings!$A$10:$A$21,0)),4))</f>
        <v/>
      </c>
      <c r="J276" s="22">
        <f>IF(OR(A276="",C276="",I276=""),"",I276*H276*C276/60)</f>
        <v/>
      </c>
    </row>
    <row r="277">
      <c r="A277" s="35" t="n"/>
      <c r="B277" s="33" t="n"/>
      <c r="C277" s="31" t="n"/>
      <c r="D277" s="30" t="n"/>
      <c r="E277" s="33" t="n"/>
      <c r="F277" s="20">
        <f>IF(A277="","",WEEKNUM(A277,21))</f>
        <v/>
      </c>
      <c r="G277" s="21">
        <f>IF(OR(C277="",N(D277)=0),"",C277/D277)</f>
        <v/>
      </c>
      <c r="H277" s="21">
        <f>IF(A277="","",IFERROR(INDEX(Weight!$B$2:$B$1000,MATCH(IF(_xlfn.MAXIFS(Weight!$A$2:$A$1000,Weight!$A$2:$A$1000,"&lt;="&amp;A277)&gt;0,_xlfn.MAXIFS(Weight!$A$2:$A$1000,Weight!$A$2:$A$1000,"&lt;="&amp;A277),_xlfn.MINIFS(Weight!$A$2:$A$1000,Weight!$A$2:$A$1000,"&gt;0")),Weight!$A$2:$A$1000,0)),Settings!$B$6))</f>
        <v/>
      </c>
      <c r="I277" s="21">
        <f>IF(B277="","",IFERROR(INDEX(Settings!$B$10:$B$21,MATCH(B277,Settings!$A$10:$A$21,0)),4))</f>
        <v/>
      </c>
      <c r="J277" s="22">
        <f>IF(OR(A277="",C277="",I277=""),"",I277*H277*C277/60)</f>
        <v/>
      </c>
    </row>
    <row r="278">
      <c r="A278" s="35" t="n"/>
      <c r="B278" s="33" t="n"/>
      <c r="C278" s="31" t="n"/>
      <c r="D278" s="30" t="n"/>
      <c r="E278" s="33" t="n"/>
      <c r="F278" s="20">
        <f>IF(A278="","",WEEKNUM(A278,21))</f>
        <v/>
      </c>
      <c r="G278" s="21">
        <f>IF(OR(C278="",N(D278)=0),"",C278/D278)</f>
        <v/>
      </c>
      <c r="H278" s="21">
        <f>IF(A278="","",IFERROR(INDEX(Weight!$B$2:$B$1000,MATCH(IF(_xlfn.MAXIFS(Weight!$A$2:$A$1000,Weight!$A$2:$A$1000,"&lt;="&amp;A278)&gt;0,_xlfn.MAXIFS(Weight!$A$2:$A$1000,Weight!$A$2:$A$1000,"&lt;="&amp;A278),_xlfn.MINIFS(Weight!$A$2:$A$1000,Weight!$A$2:$A$1000,"&gt;0")),Weight!$A$2:$A$1000,0)),Settings!$B$6))</f>
        <v/>
      </c>
      <c r="I278" s="21">
        <f>IF(B278="","",IFERROR(INDEX(Settings!$B$10:$B$21,MATCH(B278,Settings!$A$10:$A$21,0)),4))</f>
        <v/>
      </c>
      <c r="J278" s="22">
        <f>IF(OR(A278="",C278="",I278=""),"",I278*H278*C278/60)</f>
        <v/>
      </c>
    </row>
    <row r="279">
      <c r="A279" s="35" t="n"/>
      <c r="B279" s="33" t="n"/>
      <c r="C279" s="31" t="n"/>
      <c r="D279" s="30" t="n"/>
      <c r="E279" s="33" t="n"/>
      <c r="F279" s="20">
        <f>IF(A279="","",WEEKNUM(A279,21))</f>
        <v/>
      </c>
      <c r="G279" s="21">
        <f>IF(OR(C279="",N(D279)=0),"",C279/D279)</f>
        <v/>
      </c>
      <c r="H279" s="21">
        <f>IF(A279="","",IFERROR(INDEX(Weight!$B$2:$B$1000,MATCH(IF(_xlfn.MAXIFS(Weight!$A$2:$A$1000,Weight!$A$2:$A$1000,"&lt;="&amp;A279)&gt;0,_xlfn.MAXIFS(Weight!$A$2:$A$1000,Weight!$A$2:$A$1000,"&lt;="&amp;A279),_xlfn.MINIFS(Weight!$A$2:$A$1000,Weight!$A$2:$A$1000,"&gt;0")),Weight!$A$2:$A$1000,0)),Settings!$B$6))</f>
        <v/>
      </c>
      <c r="I279" s="21">
        <f>IF(B279="","",IFERROR(INDEX(Settings!$B$10:$B$21,MATCH(B279,Settings!$A$10:$A$21,0)),4))</f>
        <v/>
      </c>
      <c r="J279" s="22">
        <f>IF(OR(A279="",C279="",I279=""),"",I279*H279*C279/60)</f>
        <v/>
      </c>
    </row>
    <row r="280">
      <c r="A280" s="35" t="n"/>
      <c r="B280" s="33" t="n"/>
      <c r="C280" s="31" t="n"/>
      <c r="D280" s="30" t="n"/>
      <c r="E280" s="33" t="n"/>
      <c r="F280" s="20">
        <f>IF(A280="","",WEEKNUM(A280,21))</f>
        <v/>
      </c>
      <c r="G280" s="21">
        <f>IF(OR(C280="",N(D280)=0),"",C280/D280)</f>
        <v/>
      </c>
      <c r="H280" s="21">
        <f>IF(A280="","",IFERROR(INDEX(Weight!$B$2:$B$1000,MATCH(IF(_xlfn.MAXIFS(Weight!$A$2:$A$1000,Weight!$A$2:$A$1000,"&lt;="&amp;A280)&gt;0,_xlfn.MAXIFS(Weight!$A$2:$A$1000,Weight!$A$2:$A$1000,"&lt;="&amp;A280),_xlfn.MINIFS(Weight!$A$2:$A$1000,Weight!$A$2:$A$1000,"&gt;0")),Weight!$A$2:$A$1000,0)),Settings!$B$6))</f>
        <v/>
      </c>
      <c r="I280" s="21">
        <f>IF(B280="","",IFERROR(INDEX(Settings!$B$10:$B$21,MATCH(B280,Settings!$A$10:$A$21,0)),4))</f>
        <v/>
      </c>
      <c r="J280" s="22">
        <f>IF(OR(A280="",C280="",I280=""),"",I280*H280*C280/60)</f>
        <v/>
      </c>
    </row>
    <row r="281">
      <c r="A281" s="35" t="n"/>
      <c r="B281" s="33" t="n"/>
      <c r="C281" s="31" t="n"/>
      <c r="D281" s="30" t="n"/>
      <c r="E281" s="33" t="n"/>
      <c r="F281" s="20">
        <f>IF(A281="","",WEEKNUM(A281,21))</f>
        <v/>
      </c>
      <c r="G281" s="21">
        <f>IF(OR(C281="",N(D281)=0),"",C281/D281)</f>
        <v/>
      </c>
      <c r="H281" s="21">
        <f>IF(A281="","",IFERROR(INDEX(Weight!$B$2:$B$1000,MATCH(IF(_xlfn.MAXIFS(Weight!$A$2:$A$1000,Weight!$A$2:$A$1000,"&lt;="&amp;A281)&gt;0,_xlfn.MAXIFS(Weight!$A$2:$A$1000,Weight!$A$2:$A$1000,"&lt;="&amp;A281),_xlfn.MINIFS(Weight!$A$2:$A$1000,Weight!$A$2:$A$1000,"&gt;0")),Weight!$A$2:$A$1000,0)),Settings!$B$6))</f>
        <v/>
      </c>
      <c r="I281" s="21">
        <f>IF(B281="","",IFERROR(INDEX(Settings!$B$10:$B$21,MATCH(B281,Settings!$A$10:$A$21,0)),4))</f>
        <v/>
      </c>
      <c r="J281" s="22">
        <f>IF(OR(A281="",C281="",I281=""),"",I281*H281*C281/60)</f>
        <v/>
      </c>
    </row>
    <row r="282">
      <c r="A282" s="35" t="n"/>
      <c r="B282" s="33" t="n"/>
      <c r="C282" s="31" t="n"/>
      <c r="D282" s="30" t="n"/>
      <c r="E282" s="33" t="n"/>
      <c r="F282" s="20">
        <f>IF(A282="","",WEEKNUM(A282,21))</f>
        <v/>
      </c>
      <c r="G282" s="21">
        <f>IF(OR(C282="",N(D282)=0),"",C282/D282)</f>
        <v/>
      </c>
      <c r="H282" s="21">
        <f>IF(A282="","",IFERROR(INDEX(Weight!$B$2:$B$1000,MATCH(IF(_xlfn.MAXIFS(Weight!$A$2:$A$1000,Weight!$A$2:$A$1000,"&lt;="&amp;A282)&gt;0,_xlfn.MAXIFS(Weight!$A$2:$A$1000,Weight!$A$2:$A$1000,"&lt;="&amp;A282),_xlfn.MINIFS(Weight!$A$2:$A$1000,Weight!$A$2:$A$1000,"&gt;0")),Weight!$A$2:$A$1000,0)),Settings!$B$6))</f>
        <v/>
      </c>
      <c r="I282" s="21">
        <f>IF(B282="","",IFERROR(INDEX(Settings!$B$10:$B$21,MATCH(B282,Settings!$A$10:$A$21,0)),4))</f>
        <v/>
      </c>
      <c r="J282" s="22">
        <f>IF(OR(A282="",C282="",I282=""),"",I282*H282*C282/60)</f>
        <v/>
      </c>
    </row>
    <row r="283">
      <c r="A283" s="35" t="n"/>
      <c r="B283" s="33" t="n"/>
      <c r="C283" s="31" t="n"/>
      <c r="D283" s="30" t="n"/>
      <c r="E283" s="33" t="n"/>
      <c r="F283" s="20">
        <f>IF(A283="","",WEEKNUM(A283,21))</f>
        <v/>
      </c>
      <c r="G283" s="21">
        <f>IF(OR(C283="",N(D283)=0),"",C283/D283)</f>
        <v/>
      </c>
      <c r="H283" s="21">
        <f>IF(A283="","",IFERROR(INDEX(Weight!$B$2:$B$1000,MATCH(IF(_xlfn.MAXIFS(Weight!$A$2:$A$1000,Weight!$A$2:$A$1000,"&lt;="&amp;A283)&gt;0,_xlfn.MAXIFS(Weight!$A$2:$A$1000,Weight!$A$2:$A$1000,"&lt;="&amp;A283),_xlfn.MINIFS(Weight!$A$2:$A$1000,Weight!$A$2:$A$1000,"&gt;0")),Weight!$A$2:$A$1000,0)),Settings!$B$6))</f>
        <v/>
      </c>
      <c r="I283" s="21">
        <f>IF(B283="","",IFERROR(INDEX(Settings!$B$10:$B$21,MATCH(B283,Settings!$A$10:$A$21,0)),4))</f>
        <v/>
      </c>
      <c r="J283" s="22">
        <f>IF(OR(A283="",C283="",I283=""),"",I283*H283*C283/60)</f>
        <v/>
      </c>
    </row>
    <row r="284">
      <c r="A284" s="35" t="n"/>
      <c r="B284" s="33" t="n"/>
      <c r="C284" s="31" t="n"/>
      <c r="D284" s="30" t="n"/>
      <c r="E284" s="33" t="n"/>
      <c r="F284" s="20">
        <f>IF(A284="","",WEEKNUM(A284,21))</f>
        <v/>
      </c>
      <c r="G284" s="21">
        <f>IF(OR(C284="",N(D284)=0),"",C284/D284)</f>
        <v/>
      </c>
      <c r="H284" s="21">
        <f>IF(A284="","",IFERROR(INDEX(Weight!$B$2:$B$1000,MATCH(IF(_xlfn.MAXIFS(Weight!$A$2:$A$1000,Weight!$A$2:$A$1000,"&lt;="&amp;A284)&gt;0,_xlfn.MAXIFS(Weight!$A$2:$A$1000,Weight!$A$2:$A$1000,"&lt;="&amp;A284),_xlfn.MINIFS(Weight!$A$2:$A$1000,Weight!$A$2:$A$1000,"&gt;0")),Weight!$A$2:$A$1000,0)),Settings!$B$6))</f>
        <v/>
      </c>
      <c r="I284" s="21">
        <f>IF(B284="","",IFERROR(INDEX(Settings!$B$10:$B$21,MATCH(B284,Settings!$A$10:$A$21,0)),4))</f>
        <v/>
      </c>
      <c r="J284" s="22">
        <f>IF(OR(A284="",C284="",I284=""),"",I284*H284*C284/60)</f>
        <v/>
      </c>
    </row>
    <row r="285">
      <c r="A285" s="35" t="n"/>
      <c r="B285" s="33" t="n"/>
      <c r="C285" s="31" t="n"/>
      <c r="D285" s="30" t="n"/>
      <c r="E285" s="33" t="n"/>
      <c r="F285" s="20">
        <f>IF(A285="","",WEEKNUM(A285,21))</f>
        <v/>
      </c>
      <c r="G285" s="21">
        <f>IF(OR(C285="",N(D285)=0),"",C285/D285)</f>
        <v/>
      </c>
      <c r="H285" s="21">
        <f>IF(A285="","",IFERROR(INDEX(Weight!$B$2:$B$1000,MATCH(IF(_xlfn.MAXIFS(Weight!$A$2:$A$1000,Weight!$A$2:$A$1000,"&lt;="&amp;A285)&gt;0,_xlfn.MAXIFS(Weight!$A$2:$A$1000,Weight!$A$2:$A$1000,"&lt;="&amp;A285),_xlfn.MINIFS(Weight!$A$2:$A$1000,Weight!$A$2:$A$1000,"&gt;0")),Weight!$A$2:$A$1000,0)),Settings!$B$6))</f>
        <v/>
      </c>
      <c r="I285" s="21">
        <f>IF(B285="","",IFERROR(INDEX(Settings!$B$10:$B$21,MATCH(B285,Settings!$A$10:$A$21,0)),4))</f>
        <v/>
      </c>
      <c r="J285" s="22">
        <f>IF(OR(A285="",C285="",I285=""),"",I285*H285*C285/60)</f>
        <v/>
      </c>
    </row>
    <row r="286">
      <c r="A286" s="35" t="n"/>
      <c r="B286" s="33" t="n"/>
      <c r="C286" s="31" t="n"/>
      <c r="D286" s="30" t="n"/>
      <c r="E286" s="33" t="n"/>
      <c r="F286" s="20">
        <f>IF(A286="","",WEEKNUM(A286,21))</f>
        <v/>
      </c>
      <c r="G286" s="21">
        <f>IF(OR(C286="",N(D286)=0),"",C286/D286)</f>
        <v/>
      </c>
      <c r="H286" s="21">
        <f>IF(A286="","",IFERROR(INDEX(Weight!$B$2:$B$1000,MATCH(IF(_xlfn.MAXIFS(Weight!$A$2:$A$1000,Weight!$A$2:$A$1000,"&lt;="&amp;A286)&gt;0,_xlfn.MAXIFS(Weight!$A$2:$A$1000,Weight!$A$2:$A$1000,"&lt;="&amp;A286),_xlfn.MINIFS(Weight!$A$2:$A$1000,Weight!$A$2:$A$1000,"&gt;0")),Weight!$A$2:$A$1000,0)),Settings!$B$6))</f>
        <v/>
      </c>
      <c r="I286" s="21">
        <f>IF(B286="","",IFERROR(INDEX(Settings!$B$10:$B$21,MATCH(B286,Settings!$A$10:$A$21,0)),4))</f>
        <v/>
      </c>
      <c r="J286" s="22">
        <f>IF(OR(A286="",C286="",I286=""),"",I286*H286*C286/60)</f>
        <v/>
      </c>
    </row>
    <row r="287">
      <c r="A287" s="35" t="n"/>
      <c r="B287" s="33" t="n"/>
      <c r="C287" s="31" t="n"/>
      <c r="D287" s="30" t="n"/>
      <c r="E287" s="33" t="n"/>
      <c r="F287" s="20">
        <f>IF(A287="","",WEEKNUM(A287,21))</f>
        <v/>
      </c>
      <c r="G287" s="21">
        <f>IF(OR(C287="",N(D287)=0),"",C287/D287)</f>
        <v/>
      </c>
      <c r="H287" s="21">
        <f>IF(A287="","",IFERROR(INDEX(Weight!$B$2:$B$1000,MATCH(IF(_xlfn.MAXIFS(Weight!$A$2:$A$1000,Weight!$A$2:$A$1000,"&lt;="&amp;A287)&gt;0,_xlfn.MAXIFS(Weight!$A$2:$A$1000,Weight!$A$2:$A$1000,"&lt;="&amp;A287),_xlfn.MINIFS(Weight!$A$2:$A$1000,Weight!$A$2:$A$1000,"&gt;0")),Weight!$A$2:$A$1000,0)),Settings!$B$6))</f>
        <v/>
      </c>
      <c r="I287" s="21">
        <f>IF(B287="","",IFERROR(INDEX(Settings!$B$10:$B$21,MATCH(B287,Settings!$A$10:$A$21,0)),4))</f>
        <v/>
      </c>
      <c r="J287" s="22">
        <f>IF(OR(A287="",C287="",I287=""),"",I287*H287*C287/60)</f>
        <v/>
      </c>
    </row>
    <row r="288">
      <c r="A288" s="35" t="n"/>
      <c r="B288" s="33" t="n"/>
      <c r="C288" s="31" t="n"/>
      <c r="D288" s="30" t="n"/>
      <c r="E288" s="33" t="n"/>
      <c r="F288" s="20">
        <f>IF(A288="","",WEEKNUM(A288,21))</f>
        <v/>
      </c>
      <c r="G288" s="21">
        <f>IF(OR(C288="",N(D288)=0),"",C288/D288)</f>
        <v/>
      </c>
      <c r="H288" s="21">
        <f>IF(A288="","",IFERROR(INDEX(Weight!$B$2:$B$1000,MATCH(IF(_xlfn.MAXIFS(Weight!$A$2:$A$1000,Weight!$A$2:$A$1000,"&lt;="&amp;A288)&gt;0,_xlfn.MAXIFS(Weight!$A$2:$A$1000,Weight!$A$2:$A$1000,"&lt;="&amp;A288),_xlfn.MINIFS(Weight!$A$2:$A$1000,Weight!$A$2:$A$1000,"&gt;0")),Weight!$A$2:$A$1000,0)),Settings!$B$6))</f>
        <v/>
      </c>
      <c r="I288" s="21">
        <f>IF(B288="","",IFERROR(INDEX(Settings!$B$10:$B$21,MATCH(B288,Settings!$A$10:$A$21,0)),4))</f>
        <v/>
      </c>
      <c r="J288" s="22">
        <f>IF(OR(A288="",C288="",I288=""),"",I288*H288*C288/60)</f>
        <v/>
      </c>
    </row>
    <row r="289">
      <c r="A289" s="35" t="n"/>
      <c r="B289" s="33" t="n"/>
      <c r="C289" s="31" t="n"/>
      <c r="D289" s="30" t="n"/>
      <c r="E289" s="33" t="n"/>
      <c r="F289" s="20">
        <f>IF(A289="","",WEEKNUM(A289,21))</f>
        <v/>
      </c>
      <c r="G289" s="21">
        <f>IF(OR(C289="",N(D289)=0),"",C289/D289)</f>
        <v/>
      </c>
      <c r="H289" s="21">
        <f>IF(A289="","",IFERROR(INDEX(Weight!$B$2:$B$1000,MATCH(IF(_xlfn.MAXIFS(Weight!$A$2:$A$1000,Weight!$A$2:$A$1000,"&lt;="&amp;A289)&gt;0,_xlfn.MAXIFS(Weight!$A$2:$A$1000,Weight!$A$2:$A$1000,"&lt;="&amp;A289),_xlfn.MINIFS(Weight!$A$2:$A$1000,Weight!$A$2:$A$1000,"&gt;0")),Weight!$A$2:$A$1000,0)),Settings!$B$6))</f>
        <v/>
      </c>
      <c r="I289" s="21">
        <f>IF(B289="","",IFERROR(INDEX(Settings!$B$10:$B$21,MATCH(B289,Settings!$A$10:$A$21,0)),4))</f>
        <v/>
      </c>
      <c r="J289" s="22">
        <f>IF(OR(A289="",C289="",I289=""),"",I289*H289*C289/60)</f>
        <v/>
      </c>
    </row>
    <row r="290">
      <c r="A290" s="35" t="n"/>
      <c r="B290" s="33" t="n"/>
      <c r="C290" s="31" t="n"/>
      <c r="D290" s="30" t="n"/>
      <c r="E290" s="33" t="n"/>
      <c r="F290" s="20">
        <f>IF(A290="","",WEEKNUM(A290,21))</f>
        <v/>
      </c>
      <c r="G290" s="21">
        <f>IF(OR(C290="",N(D290)=0),"",C290/D290)</f>
        <v/>
      </c>
      <c r="H290" s="21">
        <f>IF(A290="","",IFERROR(INDEX(Weight!$B$2:$B$1000,MATCH(IF(_xlfn.MAXIFS(Weight!$A$2:$A$1000,Weight!$A$2:$A$1000,"&lt;="&amp;A290)&gt;0,_xlfn.MAXIFS(Weight!$A$2:$A$1000,Weight!$A$2:$A$1000,"&lt;="&amp;A290),_xlfn.MINIFS(Weight!$A$2:$A$1000,Weight!$A$2:$A$1000,"&gt;0")),Weight!$A$2:$A$1000,0)),Settings!$B$6))</f>
        <v/>
      </c>
      <c r="I290" s="21">
        <f>IF(B290="","",IFERROR(INDEX(Settings!$B$10:$B$21,MATCH(B290,Settings!$A$10:$A$21,0)),4))</f>
        <v/>
      </c>
      <c r="J290" s="22">
        <f>IF(OR(A290="",C290="",I290=""),"",I290*H290*C290/60)</f>
        <v/>
      </c>
    </row>
    <row r="291">
      <c r="A291" s="35" t="n"/>
      <c r="B291" s="33" t="n"/>
      <c r="C291" s="31" t="n"/>
      <c r="D291" s="30" t="n"/>
      <c r="E291" s="33" t="n"/>
      <c r="F291" s="20">
        <f>IF(A291="","",WEEKNUM(A291,21))</f>
        <v/>
      </c>
      <c r="G291" s="21">
        <f>IF(OR(C291="",N(D291)=0),"",C291/D291)</f>
        <v/>
      </c>
      <c r="H291" s="21">
        <f>IF(A291="","",IFERROR(INDEX(Weight!$B$2:$B$1000,MATCH(IF(_xlfn.MAXIFS(Weight!$A$2:$A$1000,Weight!$A$2:$A$1000,"&lt;="&amp;A291)&gt;0,_xlfn.MAXIFS(Weight!$A$2:$A$1000,Weight!$A$2:$A$1000,"&lt;="&amp;A291),_xlfn.MINIFS(Weight!$A$2:$A$1000,Weight!$A$2:$A$1000,"&gt;0")),Weight!$A$2:$A$1000,0)),Settings!$B$6))</f>
        <v/>
      </c>
      <c r="I291" s="21">
        <f>IF(B291="","",IFERROR(INDEX(Settings!$B$10:$B$21,MATCH(B291,Settings!$A$10:$A$21,0)),4))</f>
        <v/>
      </c>
      <c r="J291" s="22">
        <f>IF(OR(A291="",C291="",I291=""),"",I291*H291*C291/60)</f>
        <v/>
      </c>
    </row>
    <row r="292">
      <c r="A292" s="35" t="n"/>
      <c r="B292" s="33" t="n"/>
      <c r="C292" s="31" t="n"/>
      <c r="D292" s="30" t="n"/>
      <c r="E292" s="33" t="n"/>
      <c r="F292" s="20">
        <f>IF(A292="","",WEEKNUM(A292,21))</f>
        <v/>
      </c>
      <c r="G292" s="21">
        <f>IF(OR(C292="",N(D292)=0),"",C292/D292)</f>
        <v/>
      </c>
      <c r="H292" s="21">
        <f>IF(A292="","",IFERROR(INDEX(Weight!$B$2:$B$1000,MATCH(IF(_xlfn.MAXIFS(Weight!$A$2:$A$1000,Weight!$A$2:$A$1000,"&lt;="&amp;A292)&gt;0,_xlfn.MAXIFS(Weight!$A$2:$A$1000,Weight!$A$2:$A$1000,"&lt;="&amp;A292),_xlfn.MINIFS(Weight!$A$2:$A$1000,Weight!$A$2:$A$1000,"&gt;0")),Weight!$A$2:$A$1000,0)),Settings!$B$6))</f>
        <v/>
      </c>
      <c r="I292" s="21">
        <f>IF(B292="","",IFERROR(INDEX(Settings!$B$10:$B$21,MATCH(B292,Settings!$A$10:$A$21,0)),4))</f>
        <v/>
      </c>
      <c r="J292" s="22">
        <f>IF(OR(A292="",C292="",I292=""),"",I292*H292*C292/60)</f>
        <v/>
      </c>
    </row>
    <row r="293">
      <c r="A293" s="35" t="n"/>
      <c r="B293" s="33" t="n"/>
      <c r="C293" s="31" t="n"/>
      <c r="D293" s="30" t="n"/>
      <c r="E293" s="33" t="n"/>
      <c r="F293" s="20">
        <f>IF(A293="","",WEEKNUM(A293,21))</f>
        <v/>
      </c>
      <c r="G293" s="21">
        <f>IF(OR(C293="",N(D293)=0),"",C293/D293)</f>
        <v/>
      </c>
      <c r="H293" s="21">
        <f>IF(A293="","",IFERROR(INDEX(Weight!$B$2:$B$1000,MATCH(IF(_xlfn.MAXIFS(Weight!$A$2:$A$1000,Weight!$A$2:$A$1000,"&lt;="&amp;A293)&gt;0,_xlfn.MAXIFS(Weight!$A$2:$A$1000,Weight!$A$2:$A$1000,"&lt;="&amp;A293),_xlfn.MINIFS(Weight!$A$2:$A$1000,Weight!$A$2:$A$1000,"&gt;0")),Weight!$A$2:$A$1000,0)),Settings!$B$6))</f>
        <v/>
      </c>
      <c r="I293" s="21">
        <f>IF(B293="","",IFERROR(INDEX(Settings!$B$10:$B$21,MATCH(B293,Settings!$A$10:$A$21,0)),4))</f>
        <v/>
      </c>
      <c r="J293" s="22">
        <f>IF(OR(A293="",C293="",I293=""),"",I293*H293*C293/60)</f>
        <v/>
      </c>
    </row>
    <row r="294">
      <c r="A294" s="35" t="n"/>
      <c r="B294" s="33" t="n"/>
      <c r="C294" s="31" t="n"/>
      <c r="D294" s="30" t="n"/>
      <c r="E294" s="33" t="n"/>
      <c r="F294" s="20">
        <f>IF(A294="","",WEEKNUM(A294,21))</f>
        <v/>
      </c>
      <c r="G294" s="21">
        <f>IF(OR(C294="",N(D294)=0),"",C294/D294)</f>
        <v/>
      </c>
      <c r="H294" s="21">
        <f>IF(A294="","",IFERROR(INDEX(Weight!$B$2:$B$1000,MATCH(IF(_xlfn.MAXIFS(Weight!$A$2:$A$1000,Weight!$A$2:$A$1000,"&lt;="&amp;A294)&gt;0,_xlfn.MAXIFS(Weight!$A$2:$A$1000,Weight!$A$2:$A$1000,"&lt;="&amp;A294),_xlfn.MINIFS(Weight!$A$2:$A$1000,Weight!$A$2:$A$1000,"&gt;0")),Weight!$A$2:$A$1000,0)),Settings!$B$6))</f>
        <v/>
      </c>
      <c r="I294" s="21">
        <f>IF(B294="","",IFERROR(INDEX(Settings!$B$10:$B$21,MATCH(B294,Settings!$A$10:$A$21,0)),4))</f>
        <v/>
      </c>
      <c r="J294" s="22">
        <f>IF(OR(A294="",C294="",I294=""),"",I294*H294*C294/60)</f>
        <v/>
      </c>
    </row>
    <row r="295">
      <c r="A295" s="35" t="n"/>
      <c r="B295" s="33" t="n"/>
      <c r="C295" s="31" t="n"/>
      <c r="D295" s="30" t="n"/>
      <c r="E295" s="33" t="n"/>
      <c r="F295" s="20">
        <f>IF(A295="","",WEEKNUM(A295,21))</f>
        <v/>
      </c>
      <c r="G295" s="21">
        <f>IF(OR(C295="",N(D295)=0),"",C295/D295)</f>
        <v/>
      </c>
      <c r="H295" s="21">
        <f>IF(A295="","",IFERROR(INDEX(Weight!$B$2:$B$1000,MATCH(IF(_xlfn.MAXIFS(Weight!$A$2:$A$1000,Weight!$A$2:$A$1000,"&lt;="&amp;A295)&gt;0,_xlfn.MAXIFS(Weight!$A$2:$A$1000,Weight!$A$2:$A$1000,"&lt;="&amp;A295),_xlfn.MINIFS(Weight!$A$2:$A$1000,Weight!$A$2:$A$1000,"&gt;0")),Weight!$A$2:$A$1000,0)),Settings!$B$6))</f>
        <v/>
      </c>
      <c r="I295" s="21">
        <f>IF(B295="","",IFERROR(INDEX(Settings!$B$10:$B$21,MATCH(B295,Settings!$A$10:$A$21,0)),4))</f>
        <v/>
      </c>
      <c r="J295" s="22">
        <f>IF(OR(A295="",C295="",I295=""),"",I295*H295*C295/60)</f>
        <v/>
      </c>
    </row>
    <row r="296">
      <c r="A296" s="35" t="n"/>
      <c r="B296" s="33" t="n"/>
      <c r="C296" s="31" t="n"/>
      <c r="D296" s="30" t="n"/>
      <c r="E296" s="33" t="n"/>
      <c r="F296" s="20">
        <f>IF(A296="","",WEEKNUM(A296,21))</f>
        <v/>
      </c>
      <c r="G296" s="21">
        <f>IF(OR(C296="",N(D296)=0),"",C296/D296)</f>
        <v/>
      </c>
      <c r="H296" s="21">
        <f>IF(A296="","",IFERROR(INDEX(Weight!$B$2:$B$1000,MATCH(IF(_xlfn.MAXIFS(Weight!$A$2:$A$1000,Weight!$A$2:$A$1000,"&lt;="&amp;A296)&gt;0,_xlfn.MAXIFS(Weight!$A$2:$A$1000,Weight!$A$2:$A$1000,"&lt;="&amp;A296),_xlfn.MINIFS(Weight!$A$2:$A$1000,Weight!$A$2:$A$1000,"&gt;0")),Weight!$A$2:$A$1000,0)),Settings!$B$6))</f>
        <v/>
      </c>
      <c r="I296" s="21">
        <f>IF(B296="","",IFERROR(INDEX(Settings!$B$10:$B$21,MATCH(B296,Settings!$A$10:$A$21,0)),4))</f>
        <v/>
      </c>
      <c r="J296" s="22">
        <f>IF(OR(A296="",C296="",I296=""),"",I296*H296*C296/60)</f>
        <v/>
      </c>
    </row>
    <row r="297">
      <c r="A297" s="35" t="n"/>
      <c r="B297" s="33" t="n"/>
      <c r="C297" s="31" t="n"/>
      <c r="D297" s="30" t="n"/>
      <c r="E297" s="33" t="n"/>
      <c r="F297" s="20">
        <f>IF(A297="","",WEEKNUM(A297,21))</f>
        <v/>
      </c>
      <c r="G297" s="21">
        <f>IF(OR(C297="",N(D297)=0),"",C297/D297)</f>
        <v/>
      </c>
      <c r="H297" s="21">
        <f>IF(A297="","",IFERROR(INDEX(Weight!$B$2:$B$1000,MATCH(IF(_xlfn.MAXIFS(Weight!$A$2:$A$1000,Weight!$A$2:$A$1000,"&lt;="&amp;A297)&gt;0,_xlfn.MAXIFS(Weight!$A$2:$A$1000,Weight!$A$2:$A$1000,"&lt;="&amp;A297),_xlfn.MINIFS(Weight!$A$2:$A$1000,Weight!$A$2:$A$1000,"&gt;0")),Weight!$A$2:$A$1000,0)),Settings!$B$6))</f>
        <v/>
      </c>
      <c r="I297" s="21">
        <f>IF(B297="","",IFERROR(INDEX(Settings!$B$10:$B$21,MATCH(B297,Settings!$A$10:$A$21,0)),4))</f>
        <v/>
      </c>
      <c r="J297" s="22">
        <f>IF(OR(A297="",C297="",I297=""),"",I297*H297*C297/60)</f>
        <v/>
      </c>
    </row>
    <row r="298">
      <c r="A298" s="35" t="n"/>
      <c r="B298" s="33" t="n"/>
      <c r="C298" s="31" t="n"/>
      <c r="D298" s="30" t="n"/>
      <c r="E298" s="33" t="n"/>
      <c r="F298" s="20">
        <f>IF(A298="","",WEEKNUM(A298,21))</f>
        <v/>
      </c>
      <c r="G298" s="21">
        <f>IF(OR(C298="",N(D298)=0),"",C298/D298)</f>
        <v/>
      </c>
      <c r="H298" s="21">
        <f>IF(A298="","",IFERROR(INDEX(Weight!$B$2:$B$1000,MATCH(IF(_xlfn.MAXIFS(Weight!$A$2:$A$1000,Weight!$A$2:$A$1000,"&lt;="&amp;A298)&gt;0,_xlfn.MAXIFS(Weight!$A$2:$A$1000,Weight!$A$2:$A$1000,"&lt;="&amp;A298),_xlfn.MINIFS(Weight!$A$2:$A$1000,Weight!$A$2:$A$1000,"&gt;0")),Weight!$A$2:$A$1000,0)),Settings!$B$6))</f>
        <v/>
      </c>
      <c r="I298" s="21">
        <f>IF(B298="","",IFERROR(INDEX(Settings!$B$10:$B$21,MATCH(B298,Settings!$A$10:$A$21,0)),4))</f>
        <v/>
      </c>
      <c r="J298" s="22">
        <f>IF(OR(A298="",C298="",I298=""),"",I298*H298*C298/60)</f>
        <v/>
      </c>
    </row>
    <row r="299">
      <c r="A299" s="35" t="n"/>
      <c r="B299" s="33" t="n"/>
      <c r="C299" s="31" t="n"/>
      <c r="D299" s="30" t="n"/>
      <c r="E299" s="33" t="n"/>
      <c r="F299" s="20">
        <f>IF(A299="","",WEEKNUM(A299,21))</f>
        <v/>
      </c>
      <c r="G299" s="21">
        <f>IF(OR(C299="",N(D299)=0),"",C299/D299)</f>
        <v/>
      </c>
      <c r="H299" s="21">
        <f>IF(A299="","",IFERROR(INDEX(Weight!$B$2:$B$1000,MATCH(IF(_xlfn.MAXIFS(Weight!$A$2:$A$1000,Weight!$A$2:$A$1000,"&lt;="&amp;A299)&gt;0,_xlfn.MAXIFS(Weight!$A$2:$A$1000,Weight!$A$2:$A$1000,"&lt;="&amp;A299),_xlfn.MINIFS(Weight!$A$2:$A$1000,Weight!$A$2:$A$1000,"&gt;0")),Weight!$A$2:$A$1000,0)),Settings!$B$6))</f>
        <v/>
      </c>
      <c r="I299" s="21">
        <f>IF(B299="","",IFERROR(INDEX(Settings!$B$10:$B$21,MATCH(B299,Settings!$A$10:$A$21,0)),4))</f>
        <v/>
      </c>
      <c r="J299" s="22">
        <f>IF(OR(A299="",C299="",I299=""),"",I299*H299*C299/60)</f>
        <v/>
      </c>
    </row>
    <row r="300">
      <c r="A300" s="35" t="n"/>
      <c r="B300" s="33" t="n"/>
      <c r="C300" s="31" t="n"/>
      <c r="D300" s="30" t="n"/>
      <c r="E300" s="33" t="n"/>
      <c r="F300" s="20">
        <f>IF(A300="","",WEEKNUM(A300,21))</f>
        <v/>
      </c>
      <c r="G300" s="21">
        <f>IF(OR(C300="",N(D300)=0),"",C300/D300)</f>
        <v/>
      </c>
      <c r="H300" s="21">
        <f>IF(A300="","",IFERROR(INDEX(Weight!$B$2:$B$1000,MATCH(IF(_xlfn.MAXIFS(Weight!$A$2:$A$1000,Weight!$A$2:$A$1000,"&lt;="&amp;A300)&gt;0,_xlfn.MAXIFS(Weight!$A$2:$A$1000,Weight!$A$2:$A$1000,"&lt;="&amp;A300),_xlfn.MINIFS(Weight!$A$2:$A$1000,Weight!$A$2:$A$1000,"&gt;0")),Weight!$A$2:$A$1000,0)),Settings!$B$6))</f>
        <v/>
      </c>
      <c r="I300" s="21">
        <f>IF(B300="","",IFERROR(INDEX(Settings!$B$10:$B$21,MATCH(B300,Settings!$A$10:$A$21,0)),4))</f>
        <v/>
      </c>
      <c r="J300" s="22">
        <f>IF(OR(A300="",C300="",I300=""),"",I300*H300*C300/60)</f>
        <v/>
      </c>
    </row>
    <row r="301">
      <c r="A301" s="35" t="n"/>
      <c r="B301" s="33" t="n"/>
      <c r="C301" s="31" t="n"/>
      <c r="D301" s="30" t="n"/>
      <c r="E301" s="33" t="n"/>
      <c r="F301" s="20">
        <f>IF(A301="","",WEEKNUM(A301,21))</f>
        <v/>
      </c>
      <c r="G301" s="21">
        <f>IF(OR(C301="",N(D301)=0),"",C301/D301)</f>
        <v/>
      </c>
      <c r="H301" s="21">
        <f>IF(A301="","",IFERROR(INDEX(Weight!$B$2:$B$1000,MATCH(IF(_xlfn.MAXIFS(Weight!$A$2:$A$1000,Weight!$A$2:$A$1000,"&lt;="&amp;A301)&gt;0,_xlfn.MAXIFS(Weight!$A$2:$A$1000,Weight!$A$2:$A$1000,"&lt;="&amp;A301),_xlfn.MINIFS(Weight!$A$2:$A$1000,Weight!$A$2:$A$1000,"&gt;0")),Weight!$A$2:$A$1000,0)),Settings!$B$6))</f>
        <v/>
      </c>
      <c r="I301" s="21">
        <f>IF(B301="","",IFERROR(INDEX(Settings!$B$10:$B$21,MATCH(B301,Settings!$A$10:$A$21,0)),4))</f>
        <v/>
      </c>
      <c r="J301" s="22">
        <f>IF(OR(A301="",C301="",I301=""),"",I301*H301*C301/60)</f>
        <v/>
      </c>
    </row>
    <row r="302">
      <c r="A302" s="35" t="n"/>
      <c r="B302" s="33" t="n"/>
      <c r="C302" s="31" t="n"/>
      <c r="D302" s="30" t="n"/>
      <c r="E302" s="33" t="n"/>
      <c r="F302" s="20">
        <f>IF(A302="","",WEEKNUM(A302,21))</f>
        <v/>
      </c>
      <c r="G302" s="21">
        <f>IF(OR(C302="",N(D302)=0),"",C302/D302)</f>
        <v/>
      </c>
      <c r="H302" s="21">
        <f>IF(A302="","",IFERROR(INDEX(Weight!$B$2:$B$1000,MATCH(IF(_xlfn.MAXIFS(Weight!$A$2:$A$1000,Weight!$A$2:$A$1000,"&lt;="&amp;A302)&gt;0,_xlfn.MAXIFS(Weight!$A$2:$A$1000,Weight!$A$2:$A$1000,"&lt;="&amp;A302),_xlfn.MINIFS(Weight!$A$2:$A$1000,Weight!$A$2:$A$1000,"&gt;0")),Weight!$A$2:$A$1000,0)),Settings!$B$6))</f>
        <v/>
      </c>
      <c r="I302" s="21">
        <f>IF(B302="","",IFERROR(INDEX(Settings!$B$10:$B$21,MATCH(B302,Settings!$A$10:$A$21,0)),4))</f>
        <v/>
      </c>
      <c r="J302" s="22">
        <f>IF(OR(A302="",C302="",I302=""),"",I302*H302*C302/60)</f>
        <v/>
      </c>
    </row>
    <row r="303">
      <c r="A303" s="35" t="n"/>
      <c r="B303" s="33" t="n"/>
      <c r="C303" s="31" t="n"/>
      <c r="D303" s="30" t="n"/>
      <c r="E303" s="33" t="n"/>
      <c r="F303" s="20">
        <f>IF(A303="","",WEEKNUM(A303,21))</f>
        <v/>
      </c>
      <c r="G303" s="21">
        <f>IF(OR(C303="",N(D303)=0),"",C303/D303)</f>
        <v/>
      </c>
      <c r="H303" s="21">
        <f>IF(A303="","",IFERROR(INDEX(Weight!$B$2:$B$1000,MATCH(IF(_xlfn.MAXIFS(Weight!$A$2:$A$1000,Weight!$A$2:$A$1000,"&lt;="&amp;A303)&gt;0,_xlfn.MAXIFS(Weight!$A$2:$A$1000,Weight!$A$2:$A$1000,"&lt;="&amp;A303),_xlfn.MINIFS(Weight!$A$2:$A$1000,Weight!$A$2:$A$1000,"&gt;0")),Weight!$A$2:$A$1000,0)),Settings!$B$6))</f>
        <v/>
      </c>
      <c r="I303" s="21">
        <f>IF(B303="","",IFERROR(INDEX(Settings!$B$10:$B$21,MATCH(B303,Settings!$A$10:$A$21,0)),4))</f>
        <v/>
      </c>
      <c r="J303" s="22">
        <f>IF(OR(A303="",C303="",I303=""),"",I303*H303*C303/60)</f>
        <v/>
      </c>
    </row>
    <row r="304">
      <c r="A304" s="35" t="n"/>
      <c r="B304" s="33" t="n"/>
      <c r="C304" s="31" t="n"/>
      <c r="D304" s="30" t="n"/>
      <c r="E304" s="33" t="n"/>
      <c r="F304" s="20">
        <f>IF(A304="","",WEEKNUM(A304,21))</f>
        <v/>
      </c>
      <c r="G304" s="21">
        <f>IF(OR(C304="",N(D304)=0),"",C304/D304)</f>
        <v/>
      </c>
      <c r="H304" s="21">
        <f>IF(A304="","",IFERROR(INDEX(Weight!$B$2:$B$1000,MATCH(IF(_xlfn.MAXIFS(Weight!$A$2:$A$1000,Weight!$A$2:$A$1000,"&lt;="&amp;A304)&gt;0,_xlfn.MAXIFS(Weight!$A$2:$A$1000,Weight!$A$2:$A$1000,"&lt;="&amp;A304),_xlfn.MINIFS(Weight!$A$2:$A$1000,Weight!$A$2:$A$1000,"&gt;0")),Weight!$A$2:$A$1000,0)),Settings!$B$6))</f>
        <v/>
      </c>
      <c r="I304" s="21">
        <f>IF(B304="","",IFERROR(INDEX(Settings!$B$10:$B$21,MATCH(B304,Settings!$A$10:$A$21,0)),4))</f>
        <v/>
      </c>
      <c r="J304" s="22">
        <f>IF(OR(A304="",C304="",I304=""),"",I304*H304*C304/60)</f>
        <v/>
      </c>
    </row>
    <row r="305">
      <c r="A305" s="35" t="n"/>
      <c r="B305" s="33" t="n"/>
      <c r="C305" s="31" t="n"/>
      <c r="D305" s="30" t="n"/>
      <c r="E305" s="33" t="n"/>
      <c r="F305" s="20">
        <f>IF(A305="","",WEEKNUM(A305,21))</f>
        <v/>
      </c>
      <c r="G305" s="21">
        <f>IF(OR(C305="",N(D305)=0),"",C305/D305)</f>
        <v/>
      </c>
      <c r="H305" s="21">
        <f>IF(A305="","",IFERROR(INDEX(Weight!$B$2:$B$1000,MATCH(IF(_xlfn.MAXIFS(Weight!$A$2:$A$1000,Weight!$A$2:$A$1000,"&lt;="&amp;A305)&gt;0,_xlfn.MAXIFS(Weight!$A$2:$A$1000,Weight!$A$2:$A$1000,"&lt;="&amp;A305),_xlfn.MINIFS(Weight!$A$2:$A$1000,Weight!$A$2:$A$1000,"&gt;0")),Weight!$A$2:$A$1000,0)),Settings!$B$6))</f>
        <v/>
      </c>
      <c r="I305" s="21">
        <f>IF(B305="","",IFERROR(INDEX(Settings!$B$10:$B$21,MATCH(B305,Settings!$A$10:$A$21,0)),4))</f>
        <v/>
      </c>
      <c r="J305" s="22">
        <f>IF(OR(A305="",C305="",I305=""),"",I305*H305*C305/60)</f>
        <v/>
      </c>
    </row>
    <row r="306">
      <c r="A306" s="35" t="n"/>
      <c r="B306" s="33" t="n"/>
      <c r="C306" s="31" t="n"/>
      <c r="D306" s="30" t="n"/>
      <c r="E306" s="33" t="n"/>
      <c r="F306" s="20">
        <f>IF(A306="","",WEEKNUM(A306,21))</f>
        <v/>
      </c>
      <c r="G306" s="21">
        <f>IF(OR(C306="",N(D306)=0),"",C306/D306)</f>
        <v/>
      </c>
      <c r="H306" s="21">
        <f>IF(A306="","",IFERROR(INDEX(Weight!$B$2:$B$1000,MATCH(IF(_xlfn.MAXIFS(Weight!$A$2:$A$1000,Weight!$A$2:$A$1000,"&lt;="&amp;A306)&gt;0,_xlfn.MAXIFS(Weight!$A$2:$A$1000,Weight!$A$2:$A$1000,"&lt;="&amp;A306),_xlfn.MINIFS(Weight!$A$2:$A$1000,Weight!$A$2:$A$1000,"&gt;0")),Weight!$A$2:$A$1000,0)),Settings!$B$6))</f>
        <v/>
      </c>
      <c r="I306" s="21">
        <f>IF(B306="","",IFERROR(INDEX(Settings!$B$10:$B$21,MATCH(B306,Settings!$A$10:$A$21,0)),4))</f>
        <v/>
      </c>
      <c r="J306" s="22">
        <f>IF(OR(A306="",C306="",I306=""),"",I306*H306*C306/60)</f>
        <v/>
      </c>
    </row>
    <row r="307">
      <c r="A307" s="35" t="n"/>
      <c r="B307" s="33" t="n"/>
      <c r="C307" s="31" t="n"/>
      <c r="D307" s="30" t="n"/>
      <c r="E307" s="33" t="n"/>
      <c r="F307" s="20">
        <f>IF(A307="","",WEEKNUM(A307,21))</f>
        <v/>
      </c>
      <c r="G307" s="21">
        <f>IF(OR(C307="",N(D307)=0),"",C307/D307)</f>
        <v/>
      </c>
      <c r="H307" s="21">
        <f>IF(A307="","",IFERROR(INDEX(Weight!$B$2:$B$1000,MATCH(IF(_xlfn.MAXIFS(Weight!$A$2:$A$1000,Weight!$A$2:$A$1000,"&lt;="&amp;A307)&gt;0,_xlfn.MAXIFS(Weight!$A$2:$A$1000,Weight!$A$2:$A$1000,"&lt;="&amp;A307),_xlfn.MINIFS(Weight!$A$2:$A$1000,Weight!$A$2:$A$1000,"&gt;0")),Weight!$A$2:$A$1000,0)),Settings!$B$6))</f>
        <v/>
      </c>
      <c r="I307" s="21">
        <f>IF(B307="","",IFERROR(INDEX(Settings!$B$10:$B$21,MATCH(B307,Settings!$A$10:$A$21,0)),4))</f>
        <v/>
      </c>
      <c r="J307" s="22">
        <f>IF(OR(A307="",C307="",I307=""),"",I307*H307*C307/60)</f>
        <v/>
      </c>
    </row>
    <row r="308">
      <c r="A308" s="35" t="n"/>
      <c r="B308" s="33" t="n"/>
      <c r="C308" s="31" t="n"/>
      <c r="D308" s="30" t="n"/>
      <c r="E308" s="33" t="n"/>
      <c r="F308" s="20">
        <f>IF(A308="","",WEEKNUM(A308,21))</f>
        <v/>
      </c>
      <c r="G308" s="21">
        <f>IF(OR(C308="",N(D308)=0),"",C308/D308)</f>
        <v/>
      </c>
      <c r="H308" s="21">
        <f>IF(A308="","",IFERROR(INDEX(Weight!$B$2:$B$1000,MATCH(IF(_xlfn.MAXIFS(Weight!$A$2:$A$1000,Weight!$A$2:$A$1000,"&lt;="&amp;A308)&gt;0,_xlfn.MAXIFS(Weight!$A$2:$A$1000,Weight!$A$2:$A$1000,"&lt;="&amp;A308),_xlfn.MINIFS(Weight!$A$2:$A$1000,Weight!$A$2:$A$1000,"&gt;0")),Weight!$A$2:$A$1000,0)),Settings!$B$6))</f>
        <v/>
      </c>
      <c r="I308" s="21">
        <f>IF(B308="","",IFERROR(INDEX(Settings!$B$10:$B$21,MATCH(B308,Settings!$A$10:$A$21,0)),4))</f>
        <v/>
      </c>
      <c r="J308" s="22">
        <f>IF(OR(A308="",C308="",I308=""),"",I308*H308*C308/60)</f>
        <v/>
      </c>
    </row>
    <row r="309">
      <c r="A309" s="35" t="n"/>
      <c r="B309" s="33" t="n"/>
      <c r="C309" s="31" t="n"/>
      <c r="D309" s="30" t="n"/>
      <c r="E309" s="33" t="n"/>
      <c r="F309" s="20">
        <f>IF(A309="","",WEEKNUM(A309,21))</f>
        <v/>
      </c>
      <c r="G309" s="21">
        <f>IF(OR(C309="",N(D309)=0),"",C309/D309)</f>
        <v/>
      </c>
      <c r="H309" s="21">
        <f>IF(A309="","",IFERROR(INDEX(Weight!$B$2:$B$1000,MATCH(IF(_xlfn.MAXIFS(Weight!$A$2:$A$1000,Weight!$A$2:$A$1000,"&lt;="&amp;A309)&gt;0,_xlfn.MAXIFS(Weight!$A$2:$A$1000,Weight!$A$2:$A$1000,"&lt;="&amp;A309),_xlfn.MINIFS(Weight!$A$2:$A$1000,Weight!$A$2:$A$1000,"&gt;0")),Weight!$A$2:$A$1000,0)),Settings!$B$6))</f>
        <v/>
      </c>
      <c r="I309" s="21">
        <f>IF(B309="","",IFERROR(INDEX(Settings!$B$10:$B$21,MATCH(B309,Settings!$A$10:$A$21,0)),4))</f>
        <v/>
      </c>
      <c r="J309" s="22">
        <f>IF(OR(A309="",C309="",I309=""),"",I309*H309*C309/60)</f>
        <v/>
      </c>
    </row>
    <row r="310">
      <c r="A310" s="35" t="n"/>
      <c r="B310" s="33" t="n"/>
      <c r="C310" s="31" t="n"/>
      <c r="D310" s="30" t="n"/>
      <c r="E310" s="33" t="n"/>
      <c r="F310" s="20">
        <f>IF(A310="","",WEEKNUM(A310,21))</f>
        <v/>
      </c>
      <c r="G310" s="21">
        <f>IF(OR(C310="",N(D310)=0),"",C310/D310)</f>
        <v/>
      </c>
      <c r="H310" s="21">
        <f>IF(A310="","",IFERROR(INDEX(Weight!$B$2:$B$1000,MATCH(IF(_xlfn.MAXIFS(Weight!$A$2:$A$1000,Weight!$A$2:$A$1000,"&lt;="&amp;A310)&gt;0,_xlfn.MAXIFS(Weight!$A$2:$A$1000,Weight!$A$2:$A$1000,"&lt;="&amp;A310),_xlfn.MINIFS(Weight!$A$2:$A$1000,Weight!$A$2:$A$1000,"&gt;0")),Weight!$A$2:$A$1000,0)),Settings!$B$6))</f>
        <v/>
      </c>
      <c r="I310" s="21">
        <f>IF(B310="","",IFERROR(INDEX(Settings!$B$10:$B$21,MATCH(B310,Settings!$A$10:$A$21,0)),4))</f>
        <v/>
      </c>
      <c r="J310" s="22">
        <f>IF(OR(A310="",C310="",I310=""),"",I310*H310*C310/60)</f>
        <v/>
      </c>
    </row>
    <row r="311">
      <c r="A311" s="35" t="n"/>
      <c r="B311" s="33" t="n"/>
      <c r="C311" s="31" t="n"/>
      <c r="D311" s="30" t="n"/>
      <c r="E311" s="33" t="n"/>
      <c r="F311" s="20">
        <f>IF(A311="","",WEEKNUM(A311,21))</f>
        <v/>
      </c>
      <c r="G311" s="21">
        <f>IF(OR(C311="",N(D311)=0),"",C311/D311)</f>
        <v/>
      </c>
      <c r="H311" s="21">
        <f>IF(A311="","",IFERROR(INDEX(Weight!$B$2:$B$1000,MATCH(IF(_xlfn.MAXIFS(Weight!$A$2:$A$1000,Weight!$A$2:$A$1000,"&lt;="&amp;A311)&gt;0,_xlfn.MAXIFS(Weight!$A$2:$A$1000,Weight!$A$2:$A$1000,"&lt;="&amp;A311),_xlfn.MINIFS(Weight!$A$2:$A$1000,Weight!$A$2:$A$1000,"&gt;0")),Weight!$A$2:$A$1000,0)),Settings!$B$6))</f>
        <v/>
      </c>
      <c r="I311" s="21">
        <f>IF(B311="","",IFERROR(INDEX(Settings!$B$10:$B$21,MATCH(B311,Settings!$A$10:$A$21,0)),4))</f>
        <v/>
      </c>
      <c r="J311" s="22">
        <f>IF(OR(A311="",C311="",I311=""),"",I311*H311*C311/60)</f>
        <v/>
      </c>
    </row>
    <row r="312">
      <c r="A312" s="35" t="n"/>
      <c r="B312" s="33" t="n"/>
      <c r="C312" s="31" t="n"/>
      <c r="D312" s="30" t="n"/>
      <c r="E312" s="33" t="n"/>
      <c r="F312" s="20">
        <f>IF(A312="","",WEEKNUM(A312,21))</f>
        <v/>
      </c>
      <c r="G312" s="21">
        <f>IF(OR(C312="",N(D312)=0),"",C312/D312)</f>
        <v/>
      </c>
      <c r="H312" s="21">
        <f>IF(A312="","",IFERROR(INDEX(Weight!$B$2:$B$1000,MATCH(IF(_xlfn.MAXIFS(Weight!$A$2:$A$1000,Weight!$A$2:$A$1000,"&lt;="&amp;A312)&gt;0,_xlfn.MAXIFS(Weight!$A$2:$A$1000,Weight!$A$2:$A$1000,"&lt;="&amp;A312),_xlfn.MINIFS(Weight!$A$2:$A$1000,Weight!$A$2:$A$1000,"&gt;0")),Weight!$A$2:$A$1000,0)),Settings!$B$6))</f>
        <v/>
      </c>
      <c r="I312" s="21">
        <f>IF(B312="","",IFERROR(INDEX(Settings!$B$10:$B$21,MATCH(B312,Settings!$A$10:$A$21,0)),4))</f>
        <v/>
      </c>
      <c r="J312" s="22">
        <f>IF(OR(A312="",C312="",I312=""),"",I312*H312*C312/60)</f>
        <v/>
      </c>
    </row>
    <row r="313">
      <c r="A313" s="35" t="n"/>
      <c r="B313" s="33" t="n"/>
      <c r="C313" s="31" t="n"/>
      <c r="D313" s="30" t="n"/>
      <c r="E313" s="33" t="n"/>
      <c r="F313" s="20">
        <f>IF(A313="","",WEEKNUM(A313,21))</f>
        <v/>
      </c>
      <c r="G313" s="21">
        <f>IF(OR(C313="",N(D313)=0),"",C313/D313)</f>
        <v/>
      </c>
      <c r="H313" s="21">
        <f>IF(A313="","",IFERROR(INDEX(Weight!$B$2:$B$1000,MATCH(IF(_xlfn.MAXIFS(Weight!$A$2:$A$1000,Weight!$A$2:$A$1000,"&lt;="&amp;A313)&gt;0,_xlfn.MAXIFS(Weight!$A$2:$A$1000,Weight!$A$2:$A$1000,"&lt;="&amp;A313),_xlfn.MINIFS(Weight!$A$2:$A$1000,Weight!$A$2:$A$1000,"&gt;0")),Weight!$A$2:$A$1000,0)),Settings!$B$6))</f>
        <v/>
      </c>
      <c r="I313" s="21">
        <f>IF(B313="","",IFERROR(INDEX(Settings!$B$10:$B$21,MATCH(B313,Settings!$A$10:$A$21,0)),4))</f>
        <v/>
      </c>
      <c r="J313" s="22">
        <f>IF(OR(A313="",C313="",I313=""),"",I313*H313*C313/60)</f>
        <v/>
      </c>
    </row>
    <row r="314">
      <c r="A314" s="35" t="n"/>
      <c r="B314" s="33" t="n"/>
      <c r="C314" s="31" t="n"/>
      <c r="D314" s="30" t="n"/>
      <c r="E314" s="33" t="n"/>
      <c r="F314" s="20">
        <f>IF(A314="","",WEEKNUM(A314,21))</f>
        <v/>
      </c>
      <c r="G314" s="21">
        <f>IF(OR(C314="",N(D314)=0),"",C314/D314)</f>
        <v/>
      </c>
      <c r="H314" s="21">
        <f>IF(A314="","",IFERROR(INDEX(Weight!$B$2:$B$1000,MATCH(IF(_xlfn.MAXIFS(Weight!$A$2:$A$1000,Weight!$A$2:$A$1000,"&lt;="&amp;A314)&gt;0,_xlfn.MAXIFS(Weight!$A$2:$A$1000,Weight!$A$2:$A$1000,"&lt;="&amp;A314),_xlfn.MINIFS(Weight!$A$2:$A$1000,Weight!$A$2:$A$1000,"&gt;0")),Weight!$A$2:$A$1000,0)),Settings!$B$6))</f>
        <v/>
      </c>
      <c r="I314" s="21">
        <f>IF(B314="","",IFERROR(INDEX(Settings!$B$10:$B$21,MATCH(B314,Settings!$A$10:$A$21,0)),4))</f>
        <v/>
      </c>
      <c r="J314" s="22">
        <f>IF(OR(A314="",C314="",I314=""),"",I314*H314*C314/60)</f>
        <v/>
      </c>
    </row>
    <row r="315">
      <c r="A315" s="35" t="n"/>
      <c r="B315" s="33" t="n"/>
      <c r="C315" s="31" t="n"/>
      <c r="D315" s="30" t="n"/>
      <c r="E315" s="33" t="n"/>
      <c r="F315" s="20">
        <f>IF(A315="","",WEEKNUM(A315,21))</f>
        <v/>
      </c>
      <c r="G315" s="21">
        <f>IF(OR(C315="",N(D315)=0),"",C315/D315)</f>
        <v/>
      </c>
      <c r="H315" s="21">
        <f>IF(A315="","",IFERROR(INDEX(Weight!$B$2:$B$1000,MATCH(IF(_xlfn.MAXIFS(Weight!$A$2:$A$1000,Weight!$A$2:$A$1000,"&lt;="&amp;A315)&gt;0,_xlfn.MAXIFS(Weight!$A$2:$A$1000,Weight!$A$2:$A$1000,"&lt;="&amp;A315),_xlfn.MINIFS(Weight!$A$2:$A$1000,Weight!$A$2:$A$1000,"&gt;0")),Weight!$A$2:$A$1000,0)),Settings!$B$6))</f>
        <v/>
      </c>
      <c r="I315" s="21">
        <f>IF(B315="","",IFERROR(INDEX(Settings!$B$10:$B$21,MATCH(B315,Settings!$A$10:$A$21,0)),4))</f>
        <v/>
      </c>
      <c r="J315" s="22">
        <f>IF(OR(A315="",C315="",I315=""),"",I315*H315*C315/60)</f>
        <v/>
      </c>
    </row>
    <row r="316">
      <c r="A316" s="35" t="n"/>
      <c r="B316" s="33" t="n"/>
      <c r="C316" s="31" t="n"/>
      <c r="D316" s="30" t="n"/>
      <c r="E316" s="33" t="n"/>
      <c r="F316" s="20">
        <f>IF(A316="","",WEEKNUM(A316,21))</f>
        <v/>
      </c>
      <c r="G316" s="21">
        <f>IF(OR(C316="",N(D316)=0),"",C316/D316)</f>
        <v/>
      </c>
      <c r="H316" s="21">
        <f>IF(A316="","",IFERROR(INDEX(Weight!$B$2:$B$1000,MATCH(IF(_xlfn.MAXIFS(Weight!$A$2:$A$1000,Weight!$A$2:$A$1000,"&lt;="&amp;A316)&gt;0,_xlfn.MAXIFS(Weight!$A$2:$A$1000,Weight!$A$2:$A$1000,"&lt;="&amp;A316),_xlfn.MINIFS(Weight!$A$2:$A$1000,Weight!$A$2:$A$1000,"&gt;0")),Weight!$A$2:$A$1000,0)),Settings!$B$6))</f>
        <v/>
      </c>
      <c r="I316" s="21">
        <f>IF(B316="","",IFERROR(INDEX(Settings!$B$10:$B$21,MATCH(B316,Settings!$A$10:$A$21,0)),4))</f>
        <v/>
      </c>
      <c r="J316" s="22">
        <f>IF(OR(A316="",C316="",I316=""),"",I316*H316*C316/60)</f>
        <v/>
      </c>
    </row>
    <row r="317">
      <c r="A317" s="35" t="n"/>
      <c r="B317" s="33" t="n"/>
      <c r="C317" s="31" t="n"/>
      <c r="D317" s="30" t="n"/>
      <c r="E317" s="33" t="n"/>
      <c r="F317" s="20">
        <f>IF(A317="","",WEEKNUM(A317,21))</f>
        <v/>
      </c>
      <c r="G317" s="21">
        <f>IF(OR(C317="",N(D317)=0),"",C317/D317)</f>
        <v/>
      </c>
      <c r="H317" s="21">
        <f>IF(A317="","",IFERROR(INDEX(Weight!$B$2:$B$1000,MATCH(IF(_xlfn.MAXIFS(Weight!$A$2:$A$1000,Weight!$A$2:$A$1000,"&lt;="&amp;A317)&gt;0,_xlfn.MAXIFS(Weight!$A$2:$A$1000,Weight!$A$2:$A$1000,"&lt;="&amp;A317),_xlfn.MINIFS(Weight!$A$2:$A$1000,Weight!$A$2:$A$1000,"&gt;0")),Weight!$A$2:$A$1000,0)),Settings!$B$6))</f>
        <v/>
      </c>
      <c r="I317" s="21">
        <f>IF(B317="","",IFERROR(INDEX(Settings!$B$10:$B$21,MATCH(B317,Settings!$A$10:$A$21,0)),4))</f>
        <v/>
      </c>
      <c r="J317" s="22">
        <f>IF(OR(A317="",C317="",I317=""),"",I317*H317*C317/60)</f>
        <v/>
      </c>
    </row>
    <row r="318">
      <c r="A318" s="35" t="n"/>
      <c r="B318" s="33" t="n"/>
      <c r="C318" s="31" t="n"/>
      <c r="D318" s="30" t="n"/>
      <c r="E318" s="33" t="n"/>
      <c r="F318" s="20">
        <f>IF(A318="","",WEEKNUM(A318,21))</f>
        <v/>
      </c>
      <c r="G318" s="21">
        <f>IF(OR(C318="",N(D318)=0),"",C318/D318)</f>
        <v/>
      </c>
      <c r="H318" s="21">
        <f>IF(A318="","",IFERROR(INDEX(Weight!$B$2:$B$1000,MATCH(IF(_xlfn.MAXIFS(Weight!$A$2:$A$1000,Weight!$A$2:$A$1000,"&lt;="&amp;A318)&gt;0,_xlfn.MAXIFS(Weight!$A$2:$A$1000,Weight!$A$2:$A$1000,"&lt;="&amp;A318),_xlfn.MINIFS(Weight!$A$2:$A$1000,Weight!$A$2:$A$1000,"&gt;0")),Weight!$A$2:$A$1000,0)),Settings!$B$6))</f>
        <v/>
      </c>
      <c r="I318" s="21">
        <f>IF(B318="","",IFERROR(INDEX(Settings!$B$10:$B$21,MATCH(B318,Settings!$A$10:$A$21,0)),4))</f>
        <v/>
      </c>
      <c r="J318" s="22">
        <f>IF(OR(A318="",C318="",I318=""),"",I318*H318*C318/60)</f>
        <v/>
      </c>
    </row>
    <row r="319">
      <c r="A319" s="35" t="n"/>
      <c r="B319" s="33" t="n"/>
      <c r="C319" s="31" t="n"/>
      <c r="D319" s="30" t="n"/>
      <c r="E319" s="33" t="n"/>
      <c r="F319" s="20">
        <f>IF(A319="","",WEEKNUM(A319,21))</f>
        <v/>
      </c>
      <c r="G319" s="21">
        <f>IF(OR(C319="",N(D319)=0),"",C319/D319)</f>
        <v/>
      </c>
      <c r="H319" s="21">
        <f>IF(A319="","",IFERROR(INDEX(Weight!$B$2:$B$1000,MATCH(IF(_xlfn.MAXIFS(Weight!$A$2:$A$1000,Weight!$A$2:$A$1000,"&lt;="&amp;A319)&gt;0,_xlfn.MAXIFS(Weight!$A$2:$A$1000,Weight!$A$2:$A$1000,"&lt;="&amp;A319),_xlfn.MINIFS(Weight!$A$2:$A$1000,Weight!$A$2:$A$1000,"&gt;0")),Weight!$A$2:$A$1000,0)),Settings!$B$6))</f>
        <v/>
      </c>
      <c r="I319" s="21">
        <f>IF(B319="","",IFERROR(INDEX(Settings!$B$10:$B$21,MATCH(B319,Settings!$A$10:$A$21,0)),4))</f>
        <v/>
      </c>
      <c r="J319" s="22">
        <f>IF(OR(A319="",C319="",I319=""),"",I319*H319*C319/60)</f>
        <v/>
      </c>
    </row>
    <row r="320">
      <c r="A320" s="35" t="n"/>
      <c r="B320" s="33" t="n"/>
      <c r="C320" s="31" t="n"/>
      <c r="D320" s="30" t="n"/>
      <c r="E320" s="33" t="n"/>
      <c r="F320" s="20">
        <f>IF(A320="","",WEEKNUM(A320,21))</f>
        <v/>
      </c>
      <c r="G320" s="21">
        <f>IF(OR(C320="",N(D320)=0),"",C320/D320)</f>
        <v/>
      </c>
      <c r="H320" s="21">
        <f>IF(A320="","",IFERROR(INDEX(Weight!$B$2:$B$1000,MATCH(IF(_xlfn.MAXIFS(Weight!$A$2:$A$1000,Weight!$A$2:$A$1000,"&lt;="&amp;A320)&gt;0,_xlfn.MAXIFS(Weight!$A$2:$A$1000,Weight!$A$2:$A$1000,"&lt;="&amp;A320),_xlfn.MINIFS(Weight!$A$2:$A$1000,Weight!$A$2:$A$1000,"&gt;0")),Weight!$A$2:$A$1000,0)),Settings!$B$6))</f>
        <v/>
      </c>
      <c r="I320" s="21">
        <f>IF(B320="","",IFERROR(INDEX(Settings!$B$10:$B$21,MATCH(B320,Settings!$A$10:$A$21,0)),4))</f>
        <v/>
      </c>
      <c r="J320" s="22">
        <f>IF(OR(A320="",C320="",I320=""),"",I320*H320*C320/60)</f>
        <v/>
      </c>
    </row>
    <row r="321">
      <c r="A321" s="35" t="n"/>
      <c r="B321" s="33" t="n"/>
      <c r="C321" s="31" t="n"/>
      <c r="D321" s="30" t="n"/>
      <c r="E321" s="33" t="n"/>
      <c r="F321" s="20">
        <f>IF(A321="","",WEEKNUM(A321,21))</f>
        <v/>
      </c>
      <c r="G321" s="21">
        <f>IF(OR(C321="",N(D321)=0),"",C321/D321)</f>
        <v/>
      </c>
      <c r="H321" s="21">
        <f>IF(A321="","",IFERROR(INDEX(Weight!$B$2:$B$1000,MATCH(IF(_xlfn.MAXIFS(Weight!$A$2:$A$1000,Weight!$A$2:$A$1000,"&lt;="&amp;A321)&gt;0,_xlfn.MAXIFS(Weight!$A$2:$A$1000,Weight!$A$2:$A$1000,"&lt;="&amp;A321),_xlfn.MINIFS(Weight!$A$2:$A$1000,Weight!$A$2:$A$1000,"&gt;0")),Weight!$A$2:$A$1000,0)),Settings!$B$6))</f>
        <v/>
      </c>
      <c r="I321" s="21">
        <f>IF(B321="","",IFERROR(INDEX(Settings!$B$10:$B$21,MATCH(B321,Settings!$A$10:$A$21,0)),4))</f>
        <v/>
      </c>
      <c r="J321" s="22">
        <f>IF(OR(A321="",C321="",I321=""),"",I321*H321*C321/60)</f>
        <v/>
      </c>
    </row>
    <row r="322">
      <c r="A322" s="35" t="n"/>
      <c r="B322" s="33" t="n"/>
      <c r="C322" s="31" t="n"/>
      <c r="D322" s="30" t="n"/>
      <c r="E322" s="33" t="n"/>
      <c r="F322" s="20">
        <f>IF(A322="","",WEEKNUM(A322,21))</f>
        <v/>
      </c>
      <c r="G322" s="21">
        <f>IF(OR(C322="",N(D322)=0),"",C322/D322)</f>
        <v/>
      </c>
      <c r="H322" s="21">
        <f>IF(A322="","",IFERROR(INDEX(Weight!$B$2:$B$1000,MATCH(IF(_xlfn.MAXIFS(Weight!$A$2:$A$1000,Weight!$A$2:$A$1000,"&lt;="&amp;A322)&gt;0,_xlfn.MAXIFS(Weight!$A$2:$A$1000,Weight!$A$2:$A$1000,"&lt;="&amp;A322),_xlfn.MINIFS(Weight!$A$2:$A$1000,Weight!$A$2:$A$1000,"&gt;0")),Weight!$A$2:$A$1000,0)),Settings!$B$6))</f>
        <v/>
      </c>
      <c r="I322" s="21">
        <f>IF(B322="","",IFERROR(INDEX(Settings!$B$10:$B$21,MATCH(B322,Settings!$A$10:$A$21,0)),4))</f>
        <v/>
      </c>
      <c r="J322" s="22">
        <f>IF(OR(A322="",C322="",I322=""),"",I322*H322*C322/60)</f>
        <v/>
      </c>
    </row>
    <row r="323">
      <c r="A323" s="35" t="n"/>
      <c r="B323" s="33" t="n"/>
      <c r="C323" s="31" t="n"/>
      <c r="D323" s="30" t="n"/>
      <c r="E323" s="33" t="n"/>
      <c r="F323" s="20">
        <f>IF(A323="","",WEEKNUM(A323,21))</f>
        <v/>
      </c>
      <c r="G323" s="21">
        <f>IF(OR(C323="",N(D323)=0),"",C323/D323)</f>
        <v/>
      </c>
      <c r="H323" s="21">
        <f>IF(A323="","",IFERROR(INDEX(Weight!$B$2:$B$1000,MATCH(IF(_xlfn.MAXIFS(Weight!$A$2:$A$1000,Weight!$A$2:$A$1000,"&lt;="&amp;A323)&gt;0,_xlfn.MAXIFS(Weight!$A$2:$A$1000,Weight!$A$2:$A$1000,"&lt;="&amp;A323),_xlfn.MINIFS(Weight!$A$2:$A$1000,Weight!$A$2:$A$1000,"&gt;0")),Weight!$A$2:$A$1000,0)),Settings!$B$6))</f>
        <v/>
      </c>
      <c r="I323" s="21">
        <f>IF(B323="","",IFERROR(INDEX(Settings!$B$10:$B$21,MATCH(B323,Settings!$A$10:$A$21,0)),4))</f>
        <v/>
      </c>
      <c r="J323" s="22">
        <f>IF(OR(A323="",C323="",I323=""),"",I323*H323*C323/60)</f>
        <v/>
      </c>
    </row>
    <row r="324">
      <c r="A324" s="35" t="n"/>
      <c r="B324" s="33" t="n"/>
      <c r="C324" s="31" t="n"/>
      <c r="D324" s="30" t="n"/>
      <c r="E324" s="33" t="n"/>
      <c r="F324" s="20">
        <f>IF(A324="","",WEEKNUM(A324,21))</f>
        <v/>
      </c>
      <c r="G324" s="21">
        <f>IF(OR(C324="",N(D324)=0),"",C324/D324)</f>
        <v/>
      </c>
      <c r="H324" s="21">
        <f>IF(A324="","",IFERROR(INDEX(Weight!$B$2:$B$1000,MATCH(IF(_xlfn.MAXIFS(Weight!$A$2:$A$1000,Weight!$A$2:$A$1000,"&lt;="&amp;A324)&gt;0,_xlfn.MAXIFS(Weight!$A$2:$A$1000,Weight!$A$2:$A$1000,"&lt;="&amp;A324),_xlfn.MINIFS(Weight!$A$2:$A$1000,Weight!$A$2:$A$1000,"&gt;0")),Weight!$A$2:$A$1000,0)),Settings!$B$6))</f>
        <v/>
      </c>
      <c r="I324" s="21">
        <f>IF(B324="","",IFERROR(INDEX(Settings!$B$10:$B$21,MATCH(B324,Settings!$A$10:$A$21,0)),4))</f>
        <v/>
      </c>
      <c r="J324" s="22">
        <f>IF(OR(A324="",C324="",I324=""),"",I324*H324*C324/60)</f>
        <v/>
      </c>
    </row>
    <row r="325">
      <c r="A325" s="35" t="n"/>
      <c r="B325" s="33" t="n"/>
      <c r="C325" s="31" t="n"/>
      <c r="D325" s="30" t="n"/>
      <c r="E325" s="33" t="n"/>
      <c r="F325" s="20">
        <f>IF(A325="","",WEEKNUM(A325,21))</f>
        <v/>
      </c>
      <c r="G325" s="21">
        <f>IF(OR(C325="",N(D325)=0),"",C325/D325)</f>
        <v/>
      </c>
      <c r="H325" s="21">
        <f>IF(A325="","",IFERROR(INDEX(Weight!$B$2:$B$1000,MATCH(IF(_xlfn.MAXIFS(Weight!$A$2:$A$1000,Weight!$A$2:$A$1000,"&lt;="&amp;A325)&gt;0,_xlfn.MAXIFS(Weight!$A$2:$A$1000,Weight!$A$2:$A$1000,"&lt;="&amp;A325),_xlfn.MINIFS(Weight!$A$2:$A$1000,Weight!$A$2:$A$1000,"&gt;0")),Weight!$A$2:$A$1000,0)),Settings!$B$6))</f>
        <v/>
      </c>
      <c r="I325" s="21">
        <f>IF(B325="","",IFERROR(INDEX(Settings!$B$10:$B$21,MATCH(B325,Settings!$A$10:$A$21,0)),4))</f>
        <v/>
      </c>
      <c r="J325" s="22">
        <f>IF(OR(A325="",C325="",I325=""),"",I325*H325*C325/60)</f>
        <v/>
      </c>
    </row>
    <row r="326">
      <c r="A326" s="35" t="n"/>
      <c r="B326" s="33" t="n"/>
      <c r="C326" s="31" t="n"/>
      <c r="D326" s="30" t="n"/>
      <c r="E326" s="33" t="n"/>
      <c r="F326" s="20">
        <f>IF(A326="","",WEEKNUM(A326,21))</f>
        <v/>
      </c>
      <c r="G326" s="21">
        <f>IF(OR(C326="",N(D326)=0),"",C326/D326)</f>
        <v/>
      </c>
      <c r="H326" s="21">
        <f>IF(A326="","",IFERROR(INDEX(Weight!$B$2:$B$1000,MATCH(IF(_xlfn.MAXIFS(Weight!$A$2:$A$1000,Weight!$A$2:$A$1000,"&lt;="&amp;A326)&gt;0,_xlfn.MAXIFS(Weight!$A$2:$A$1000,Weight!$A$2:$A$1000,"&lt;="&amp;A326),_xlfn.MINIFS(Weight!$A$2:$A$1000,Weight!$A$2:$A$1000,"&gt;0")),Weight!$A$2:$A$1000,0)),Settings!$B$6))</f>
        <v/>
      </c>
      <c r="I326" s="21">
        <f>IF(B326="","",IFERROR(INDEX(Settings!$B$10:$B$21,MATCH(B326,Settings!$A$10:$A$21,0)),4))</f>
        <v/>
      </c>
      <c r="J326" s="22">
        <f>IF(OR(A326="",C326="",I326=""),"",I326*H326*C326/60)</f>
        <v/>
      </c>
    </row>
    <row r="327">
      <c r="A327" s="35" t="n"/>
      <c r="B327" s="33" t="n"/>
      <c r="C327" s="31" t="n"/>
      <c r="D327" s="30" t="n"/>
      <c r="E327" s="33" t="n"/>
      <c r="F327" s="20">
        <f>IF(A327="","",WEEKNUM(A327,21))</f>
        <v/>
      </c>
      <c r="G327" s="21">
        <f>IF(OR(C327="",N(D327)=0),"",C327/D327)</f>
        <v/>
      </c>
      <c r="H327" s="21">
        <f>IF(A327="","",IFERROR(INDEX(Weight!$B$2:$B$1000,MATCH(IF(_xlfn.MAXIFS(Weight!$A$2:$A$1000,Weight!$A$2:$A$1000,"&lt;="&amp;A327)&gt;0,_xlfn.MAXIFS(Weight!$A$2:$A$1000,Weight!$A$2:$A$1000,"&lt;="&amp;A327),_xlfn.MINIFS(Weight!$A$2:$A$1000,Weight!$A$2:$A$1000,"&gt;0")),Weight!$A$2:$A$1000,0)),Settings!$B$6))</f>
        <v/>
      </c>
      <c r="I327" s="21">
        <f>IF(B327="","",IFERROR(INDEX(Settings!$B$10:$B$21,MATCH(B327,Settings!$A$10:$A$21,0)),4))</f>
        <v/>
      </c>
      <c r="J327" s="22">
        <f>IF(OR(A327="",C327="",I327=""),"",I327*H327*C327/60)</f>
        <v/>
      </c>
    </row>
    <row r="328">
      <c r="A328" s="35" t="n"/>
      <c r="B328" s="33" t="n"/>
      <c r="C328" s="31" t="n"/>
      <c r="D328" s="30" t="n"/>
      <c r="E328" s="33" t="n"/>
      <c r="F328" s="20">
        <f>IF(A328="","",WEEKNUM(A328,21))</f>
        <v/>
      </c>
      <c r="G328" s="21">
        <f>IF(OR(C328="",N(D328)=0),"",C328/D328)</f>
        <v/>
      </c>
      <c r="H328" s="21">
        <f>IF(A328="","",IFERROR(INDEX(Weight!$B$2:$B$1000,MATCH(IF(_xlfn.MAXIFS(Weight!$A$2:$A$1000,Weight!$A$2:$A$1000,"&lt;="&amp;A328)&gt;0,_xlfn.MAXIFS(Weight!$A$2:$A$1000,Weight!$A$2:$A$1000,"&lt;="&amp;A328),_xlfn.MINIFS(Weight!$A$2:$A$1000,Weight!$A$2:$A$1000,"&gt;0")),Weight!$A$2:$A$1000,0)),Settings!$B$6))</f>
        <v/>
      </c>
      <c r="I328" s="21">
        <f>IF(B328="","",IFERROR(INDEX(Settings!$B$10:$B$21,MATCH(B328,Settings!$A$10:$A$21,0)),4))</f>
        <v/>
      </c>
      <c r="J328" s="22">
        <f>IF(OR(A328="",C328="",I328=""),"",I328*H328*C328/60)</f>
        <v/>
      </c>
    </row>
    <row r="329">
      <c r="A329" s="35" t="n"/>
      <c r="B329" s="33" t="n"/>
      <c r="C329" s="31" t="n"/>
      <c r="D329" s="30" t="n"/>
      <c r="E329" s="33" t="n"/>
      <c r="F329" s="20">
        <f>IF(A329="","",WEEKNUM(A329,21))</f>
        <v/>
      </c>
      <c r="G329" s="21">
        <f>IF(OR(C329="",N(D329)=0),"",C329/D329)</f>
        <v/>
      </c>
      <c r="H329" s="21">
        <f>IF(A329="","",IFERROR(INDEX(Weight!$B$2:$B$1000,MATCH(IF(_xlfn.MAXIFS(Weight!$A$2:$A$1000,Weight!$A$2:$A$1000,"&lt;="&amp;A329)&gt;0,_xlfn.MAXIFS(Weight!$A$2:$A$1000,Weight!$A$2:$A$1000,"&lt;="&amp;A329),_xlfn.MINIFS(Weight!$A$2:$A$1000,Weight!$A$2:$A$1000,"&gt;0")),Weight!$A$2:$A$1000,0)),Settings!$B$6))</f>
        <v/>
      </c>
      <c r="I329" s="21">
        <f>IF(B329="","",IFERROR(INDEX(Settings!$B$10:$B$21,MATCH(B329,Settings!$A$10:$A$21,0)),4))</f>
        <v/>
      </c>
      <c r="J329" s="22">
        <f>IF(OR(A329="",C329="",I329=""),"",I329*H329*C329/60)</f>
        <v/>
      </c>
    </row>
    <row r="330">
      <c r="A330" s="35" t="n"/>
      <c r="B330" s="33" t="n"/>
      <c r="C330" s="31" t="n"/>
      <c r="D330" s="30" t="n"/>
      <c r="E330" s="33" t="n"/>
      <c r="F330" s="20">
        <f>IF(A330="","",WEEKNUM(A330,21))</f>
        <v/>
      </c>
      <c r="G330" s="21">
        <f>IF(OR(C330="",N(D330)=0),"",C330/D330)</f>
        <v/>
      </c>
      <c r="H330" s="21">
        <f>IF(A330="","",IFERROR(INDEX(Weight!$B$2:$B$1000,MATCH(IF(_xlfn.MAXIFS(Weight!$A$2:$A$1000,Weight!$A$2:$A$1000,"&lt;="&amp;A330)&gt;0,_xlfn.MAXIFS(Weight!$A$2:$A$1000,Weight!$A$2:$A$1000,"&lt;="&amp;A330),_xlfn.MINIFS(Weight!$A$2:$A$1000,Weight!$A$2:$A$1000,"&gt;0")),Weight!$A$2:$A$1000,0)),Settings!$B$6))</f>
        <v/>
      </c>
      <c r="I330" s="21">
        <f>IF(B330="","",IFERROR(INDEX(Settings!$B$10:$B$21,MATCH(B330,Settings!$A$10:$A$21,0)),4))</f>
        <v/>
      </c>
      <c r="J330" s="22">
        <f>IF(OR(A330="",C330="",I330=""),"",I330*H330*C330/60)</f>
        <v/>
      </c>
    </row>
    <row r="331">
      <c r="A331" s="35" t="n"/>
      <c r="B331" s="33" t="n"/>
      <c r="C331" s="31" t="n"/>
      <c r="D331" s="30" t="n"/>
      <c r="E331" s="33" t="n"/>
      <c r="F331" s="20">
        <f>IF(A331="","",WEEKNUM(A331,21))</f>
        <v/>
      </c>
      <c r="G331" s="21">
        <f>IF(OR(C331="",N(D331)=0),"",C331/D331)</f>
        <v/>
      </c>
      <c r="H331" s="21">
        <f>IF(A331="","",IFERROR(INDEX(Weight!$B$2:$B$1000,MATCH(IF(_xlfn.MAXIFS(Weight!$A$2:$A$1000,Weight!$A$2:$A$1000,"&lt;="&amp;A331)&gt;0,_xlfn.MAXIFS(Weight!$A$2:$A$1000,Weight!$A$2:$A$1000,"&lt;="&amp;A331),_xlfn.MINIFS(Weight!$A$2:$A$1000,Weight!$A$2:$A$1000,"&gt;0")),Weight!$A$2:$A$1000,0)),Settings!$B$6))</f>
        <v/>
      </c>
      <c r="I331" s="21">
        <f>IF(B331="","",IFERROR(INDEX(Settings!$B$10:$B$21,MATCH(B331,Settings!$A$10:$A$21,0)),4))</f>
        <v/>
      </c>
      <c r="J331" s="22">
        <f>IF(OR(A331="",C331="",I331=""),"",I331*H331*C331/60)</f>
        <v/>
      </c>
    </row>
    <row r="332">
      <c r="A332" s="35" t="n"/>
      <c r="B332" s="33" t="n"/>
      <c r="C332" s="31" t="n"/>
      <c r="D332" s="30" t="n"/>
      <c r="E332" s="33" t="n"/>
      <c r="F332" s="20">
        <f>IF(A332="","",WEEKNUM(A332,21))</f>
        <v/>
      </c>
      <c r="G332" s="21">
        <f>IF(OR(C332="",N(D332)=0),"",C332/D332)</f>
        <v/>
      </c>
      <c r="H332" s="21">
        <f>IF(A332="","",IFERROR(INDEX(Weight!$B$2:$B$1000,MATCH(IF(_xlfn.MAXIFS(Weight!$A$2:$A$1000,Weight!$A$2:$A$1000,"&lt;="&amp;A332)&gt;0,_xlfn.MAXIFS(Weight!$A$2:$A$1000,Weight!$A$2:$A$1000,"&lt;="&amp;A332),_xlfn.MINIFS(Weight!$A$2:$A$1000,Weight!$A$2:$A$1000,"&gt;0")),Weight!$A$2:$A$1000,0)),Settings!$B$6))</f>
        <v/>
      </c>
      <c r="I332" s="21">
        <f>IF(B332="","",IFERROR(INDEX(Settings!$B$10:$B$21,MATCH(B332,Settings!$A$10:$A$21,0)),4))</f>
        <v/>
      </c>
      <c r="J332" s="22">
        <f>IF(OR(A332="",C332="",I332=""),"",I332*H332*C332/60)</f>
        <v/>
      </c>
    </row>
    <row r="333">
      <c r="A333" s="35" t="n"/>
      <c r="B333" s="33" t="n"/>
      <c r="C333" s="31" t="n"/>
      <c r="D333" s="30" t="n"/>
      <c r="E333" s="33" t="n"/>
      <c r="F333" s="20">
        <f>IF(A333="","",WEEKNUM(A333,21))</f>
        <v/>
      </c>
      <c r="G333" s="21">
        <f>IF(OR(C333="",N(D333)=0),"",C333/D333)</f>
        <v/>
      </c>
      <c r="H333" s="21">
        <f>IF(A333="","",IFERROR(INDEX(Weight!$B$2:$B$1000,MATCH(IF(_xlfn.MAXIFS(Weight!$A$2:$A$1000,Weight!$A$2:$A$1000,"&lt;="&amp;A333)&gt;0,_xlfn.MAXIFS(Weight!$A$2:$A$1000,Weight!$A$2:$A$1000,"&lt;="&amp;A333),_xlfn.MINIFS(Weight!$A$2:$A$1000,Weight!$A$2:$A$1000,"&gt;0")),Weight!$A$2:$A$1000,0)),Settings!$B$6))</f>
        <v/>
      </c>
      <c r="I333" s="21">
        <f>IF(B333="","",IFERROR(INDEX(Settings!$B$10:$B$21,MATCH(B333,Settings!$A$10:$A$21,0)),4))</f>
        <v/>
      </c>
      <c r="J333" s="22">
        <f>IF(OR(A333="",C333="",I333=""),"",I333*H333*C333/60)</f>
        <v/>
      </c>
    </row>
    <row r="334">
      <c r="A334" s="35" t="n"/>
      <c r="B334" s="33" t="n"/>
      <c r="C334" s="31" t="n"/>
      <c r="D334" s="30" t="n"/>
      <c r="E334" s="33" t="n"/>
      <c r="F334" s="20">
        <f>IF(A334="","",WEEKNUM(A334,21))</f>
        <v/>
      </c>
      <c r="G334" s="21">
        <f>IF(OR(C334="",N(D334)=0),"",C334/D334)</f>
        <v/>
      </c>
      <c r="H334" s="21">
        <f>IF(A334="","",IFERROR(INDEX(Weight!$B$2:$B$1000,MATCH(IF(_xlfn.MAXIFS(Weight!$A$2:$A$1000,Weight!$A$2:$A$1000,"&lt;="&amp;A334)&gt;0,_xlfn.MAXIFS(Weight!$A$2:$A$1000,Weight!$A$2:$A$1000,"&lt;="&amp;A334),_xlfn.MINIFS(Weight!$A$2:$A$1000,Weight!$A$2:$A$1000,"&gt;0")),Weight!$A$2:$A$1000,0)),Settings!$B$6))</f>
        <v/>
      </c>
      <c r="I334" s="21">
        <f>IF(B334="","",IFERROR(INDEX(Settings!$B$10:$B$21,MATCH(B334,Settings!$A$10:$A$21,0)),4))</f>
        <v/>
      </c>
      <c r="J334" s="22">
        <f>IF(OR(A334="",C334="",I334=""),"",I334*H334*C334/60)</f>
        <v/>
      </c>
    </row>
    <row r="335">
      <c r="A335" s="35" t="n"/>
      <c r="B335" s="33" t="n"/>
      <c r="C335" s="31" t="n"/>
      <c r="D335" s="30" t="n"/>
      <c r="E335" s="33" t="n"/>
      <c r="F335" s="20">
        <f>IF(A335="","",WEEKNUM(A335,21))</f>
        <v/>
      </c>
      <c r="G335" s="21">
        <f>IF(OR(C335="",N(D335)=0),"",C335/D335)</f>
        <v/>
      </c>
      <c r="H335" s="21">
        <f>IF(A335="","",IFERROR(INDEX(Weight!$B$2:$B$1000,MATCH(IF(_xlfn.MAXIFS(Weight!$A$2:$A$1000,Weight!$A$2:$A$1000,"&lt;="&amp;A335)&gt;0,_xlfn.MAXIFS(Weight!$A$2:$A$1000,Weight!$A$2:$A$1000,"&lt;="&amp;A335),_xlfn.MINIFS(Weight!$A$2:$A$1000,Weight!$A$2:$A$1000,"&gt;0")),Weight!$A$2:$A$1000,0)),Settings!$B$6))</f>
        <v/>
      </c>
      <c r="I335" s="21">
        <f>IF(B335="","",IFERROR(INDEX(Settings!$B$10:$B$21,MATCH(B335,Settings!$A$10:$A$21,0)),4))</f>
        <v/>
      </c>
      <c r="J335" s="22">
        <f>IF(OR(A335="",C335="",I335=""),"",I335*H335*C335/60)</f>
        <v/>
      </c>
    </row>
    <row r="336">
      <c r="A336" s="35" t="n"/>
      <c r="B336" s="33" t="n"/>
      <c r="C336" s="31" t="n"/>
      <c r="D336" s="30" t="n"/>
      <c r="E336" s="33" t="n"/>
      <c r="F336" s="20">
        <f>IF(A336="","",WEEKNUM(A336,21))</f>
        <v/>
      </c>
      <c r="G336" s="21">
        <f>IF(OR(C336="",N(D336)=0),"",C336/D336)</f>
        <v/>
      </c>
      <c r="H336" s="21">
        <f>IF(A336="","",IFERROR(INDEX(Weight!$B$2:$B$1000,MATCH(IF(_xlfn.MAXIFS(Weight!$A$2:$A$1000,Weight!$A$2:$A$1000,"&lt;="&amp;A336)&gt;0,_xlfn.MAXIFS(Weight!$A$2:$A$1000,Weight!$A$2:$A$1000,"&lt;="&amp;A336),_xlfn.MINIFS(Weight!$A$2:$A$1000,Weight!$A$2:$A$1000,"&gt;0")),Weight!$A$2:$A$1000,0)),Settings!$B$6))</f>
        <v/>
      </c>
      <c r="I336" s="21">
        <f>IF(B336="","",IFERROR(INDEX(Settings!$B$10:$B$21,MATCH(B336,Settings!$A$10:$A$21,0)),4))</f>
        <v/>
      </c>
      <c r="J336" s="22">
        <f>IF(OR(A336="",C336="",I336=""),"",I336*H336*C336/60)</f>
        <v/>
      </c>
    </row>
    <row r="337">
      <c r="A337" s="35" t="n"/>
      <c r="B337" s="33" t="n"/>
      <c r="C337" s="31" t="n"/>
      <c r="D337" s="30" t="n"/>
      <c r="E337" s="33" t="n"/>
      <c r="F337" s="20">
        <f>IF(A337="","",WEEKNUM(A337,21))</f>
        <v/>
      </c>
      <c r="G337" s="21">
        <f>IF(OR(C337="",N(D337)=0),"",C337/D337)</f>
        <v/>
      </c>
      <c r="H337" s="21">
        <f>IF(A337="","",IFERROR(INDEX(Weight!$B$2:$B$1000,MATCH(IF(_xlfn.MAXIFS(Weight!$A$2:$A$1000,Weight!$A$2:$A$1000,"&lt;="&amp;A337)&gt;0,_xlfn.MAXIFS(Weight!$A$2:$A$1000,Weight!$A$2:$A$1000,"&lt;="&amp;A337),_xlfn.MINIFS(Weight!$A$2:$A$1000,Weight!$A$2:$A$1000,"&gt;0")),Weight!$A$2:$A$1000,0)),Settings!$B$6))</f>
        <v/>
      </c>
      <c r="I337" s="21">
        <f>IF(B337="","",IFERROR(INDEX(Settings!$B$10:$B$21,MATCH(B337,Settings!$A$10:$A$21,0)),4))</f>
        <v/>
      </c>
      <c r="J337" s="22">
        <f>IF(OR(A337="",C337="",I337=""),"",I337*H337*C337/60)</f>
        <v/>
      </c>
    </row>
    <row r="338">
      <c r="A338" s="35" t="n"/>
      <c r="B338" s="33" t="n"/>
      <c r="C338" s="31" t="n"/>
      <c r="D338" s="30" t="n"/>
      <c r="E338" s="33" t="n"/>
      <c r="F338" s="20">
        <f>IF(A338="","",WEEKNUM(A338,21))</f>
        <v/>
      </c>
      <c r="G338" s="21">
        <f>IF(OR(C338="",N(D338)=0),"",C338/D338)</f>
        <v/>
      </c>
      <c r="H338" s="21">
        <f>IF(A338="","",IFERROR(INDEX(Weight!$B$2:$B$1000,MATCH(IF(_xlfn.MAXIFS(Weight!$A$2:$A$1000,Weight!$A$2:$A$1000,"&lt;="&amp;A338)&gt;0,_xlfn.MAXIFS(Weight!$A$2:$A$1000,Weight!$A$2:$A$1000,"&lt;="&amp;A338),_xlfn.MINIFS(Weight!$A$2:$A$1000,Weight!$A$2:$A$1000,"&gt;0")),Weight!$A$2:$A$1000,0)),Settings!$B$6))</f>
        <v/>
      </c>
      <c r="I338" s="21">
        <f>IF(B338="","",IFERROR(INDEX(Settings!$B$10:$B$21,MATCH(B338,Settings!$A$10:$A$21,0)),4))</f>
        <v/>
      </c>
      <c r="J338" s="22">
        <f>IF(OR(A338="",C338="",I338=""),"",I338*H338*C338/60)</f>
        <v/>
      </c>
    </row>
    <row r="339">
      <c r="A339" s="35" t="n"/>
      <c r="B339" s="33" t="n"/>
      <c r="C339" s="31" t="n"/>
      <c r="D339" s="30" t="n"/>
      <c r="E339" s="33" t="n"/>
      <c r="F339" s="20">
        <f>IF(A339="","",WEEKNUM(A339,21))</f>
        <v/>
      </c>
      <c r="G339" s="21">
        <f>IF(OR(C339="",N(D339)=0),"",C339/D339)</f>
        <v/>
      </c>
      <c r="H339" s="21">
        <f>IF(A339="","",IFERROR(INDEX(Weight!$B$2:$B$1000,MATCH(IF(_xlfn.MAXIFS(Weight!$A$2:$A$1000,Weight!$A$2:$A$1000,"&lt;="&amp;A339)&gt;0,_xlfn.MAXIFS(Weight!$A$2:$A$1000,Weight!$A$2:$A$1000,"&lt;="&amp;A339),_xlfn.MINIFS(Weight!$A$2:$A$1000,Weight!$A$2:$A$1000,"&gt;0")),Weight!$A$2:$A$1000,0)),Settings!$B$6))</f>
        <v/>
      </c>
      <c r="I339" s="21">
        <f>IF(B339="","",IFERROR(INDEX(Settings!$B$10:$B$21,MATCH(B339,Settings!$A$10:$A$21,0)),4))</f>
        <v/>
      </c>
      <c r="J339" s="22">
        <f>IF(OR(A339="",C339="",I339=""),"",I339*H339*C339/60)</f>
        <v/>
      </c>
    </row>
    <row r="340">
      <c r="A340" s="35" t="n"/>
      <c r="B340" s="33" t="n"/>
      <c r="C340" s="31" t="n"/>
      <c r="D340" s="30" t="n"/>
      <c r="E340" s="33" t="n"/>
      <c r="F340" s="20">
        <f>IF(A340="","",WEEKNUM(A340,21))</f>
        <v/>
      </c>
      <c r="G340" s="21">
        <f>IF(OR(C340="",N(D340)=0),"",C340/D340)</f>
        <v/>
      </c>
      <c r="H340" s="21">
        <f>IF(A340="","",IFERROR(INDEX(Weight!$B$2:$B$1000,MATCH(IF(_xlfn.MAXIFS(Weight!$A$2:$A$1000,Weight!$A$2:$A$1000,"&lt;="&amp;A340)&gt;0,_xlfn.MAXIFS(Weight!$A$2:$A$1000,Weight!$A$2:$A$1000,"&lt;="&amp;A340),_xlfn.MINIFS(Weight!$A$2:$A$1000,Weight!$A$2:$A$1000,"&gt;0")),Weight!$A$2:$A$1000,0)),Settings!$B$6))</f>
        <v/>
      </c>
      <c r="I340" s="21">
        <f>IF(B340="","",IFERROR(INDEX(Settings!$B$10:$B$21,MATCH(B340,Settings!$A$10:$A$21,0)),4))</f>
        <v/>
      </c>
      <c r="J340" s="22">
        <f>IF(OR(A340="",C340="",I340=""),"",I340*H340*C340/60)</f>
        <v/>
      </c>
    </row>
    <row r="341">
      <c r="A341" s="35" t="n"/>
      <c r="B341" s="33" t="n"/>
      <c r="C341" s="31" t="n"/>
      <c r="D341" s="30" t="n"/>
      <c r="E341" s="33" t="n"/>
      <c r="F341" s="20">
        <f>IF(A341="","",WEEKNUM(A341,21))</f>
        <v/>
      </c>
      <c r="G341" s="21">
        <f>IF(OR(C341="",N(D341)=0),"",C341/D341)</f>
        <v/>
      </c>
      <c r="H341" s="21">
        <f>IF(A341="","",IFERROR(INDEX(Weight!$B$2:$B$1000,MATCH(IF(_xlfn.MAXIFS(Weight!$A$2:$A$1000,Weight!$A$2:$A$1000,"&lt;="&amp;A341)&gt;0,_xlfn.MAXIFS(Weight!$A$2:$A$1000,Weight!$A$2:$A$1000,"&lt;="&amp;A341),_xlfn.MINIFS(Weight!$A$2:$A$1000,Weight!$A$2:$A$1000,"&gt;0")),Weight!$A$2:$A$1000,0)),Settings!$B$6))</f>
        <v/>
      </c>
      <c r="I341" s="21">
        <f>IF(B341="","",IFERROR(INDEX(Settings!$B$10:$B$21,MATCH(B341,Settings!$A$10:$A$21,0)),4))</f>
        <v/>
      </c>
      <c r="J341" s="22">
        <f>IF(OR(A341="",C341="",I341=""),"",I341*H341*C341/60)</f>
        <v/>
      </c>
    </row>
    <row r="342">
      <c r="A342" s="35" t="n"/>
      <c r="B342" s="33" t="n"/>
      <c r="C342" s="31" t="n"/>
      <c r="D342" s="30" t="n"/>
      <c r="E342" s="33" t="n"/>
      <c r="F342" s="20">
        <f>IF(A342="","",WEEKNUM(A342,21))</f>
        <v/>
      </c>
      <c r="G342" s="21">
        <f>IF(OR(C342="",N(D342)=0),"",C342/D342)</f>
        <v/>
      </c>
      <c r="H342" s="21">
        <f>IF(A342="","",IFERROR(INDEX(Weight!$B$2:$B$1000,MATCH(IF(_xlfn.MAXIFS(Weight!$A$2:$A$1000,Weight!$A$2:$A$1000,"&lt;="&amp;A342)&gt;0,_xlfn.MAXIFS(Weight!$A$2:$A$1000,Weight!$A$2:$A$1000,"&lt;="&amp;A342),_xlfn.MINIFS(Weight!$A$2:$A$1000,Weight!$A$2:$A$1000,"&gt;0")),Weight!$A$2:$A$1000,0)),Settings!$B$6))</f>
        <v/>
      </c>
      <c r="I342" s="21">
        <f>IF(B342="","",IFERROR(INDEX(Settings!$B$10:$B$21,MATCH(B342,Settings!$A$10:$A$21,0)),4))</f>
        <v/>
      </c>
      <c r="J342" s="22">
        <f>IF(OR(A342="",C342="",I342=""),"",I342*H342*C342/60)</f>
        <v/>
      </c>
    </row>
    <row r="343">
      <c r="A343" s="35" t="n"/>
      <c r="B343" s="33" t="n"/>
      <c r="C343" s="31" t="n"/>
      <c r="D343" s="30" t="n"/>
      <c r="E343" s="33" t="n"/>
      <c r="F343" s="20">
        <f>IF(A343="","",WEEKNUM(A343,21))</f>
        <v/>
      </c>
      <c r="G343" s="21">
        <f>IF(OR(C343="",N(D343)=0),"",C343/D343)</f>
        <v/>
      </c>
      <c r="H343" s="21">
        <f>IF(A343="","",IFERROR(INDEX(Weight!$B$2:$B$1000,MATCH(IF(_xlfn.MAXIFS(Weight!$A$2:$A$1000,Weight!$A$2:$A$1000,"&lt;="&amp;A343)&gt;0,_xlfn.MAXIFS(Weight!$A$2:$A$1000,Weight!$A$2:$A$1000,"&lt;="&amp;A343),_xlfn.MINIFS(Weight!$A$2:$A$1000,Weight!$A$2:$A$1000,"&gt;0")),Weight!$A$2:$A$1000,0)),Settings!$B$6))</f>
        <v/>
      </c>
      <c r="I343" s="21">
        <f>IF(B343="","",IFERROR(INDEX(Settings!$B$10:$B$21,MATCH(B343,Settings!$A$10:$A$21,0)),4))</f>
        <v/>
      </c>
      <c r="J343" s="22">
        <f>IF(OR(A343="",C343="",I343=""),"",I343*H343*C343/60)</f>
        <v/>
      </c>
    </row>
    <row r="344">
      <c r="A344" s="35" t="n"/>
      <c r="B344" s="33" t="n"/>
      <c r="C344" s="31" t="n"/>
      <c r="D344" s="30" t="n"/>
      <c r="E344" s="33" t="n"/>
      <c r="F344" s="20">
        <f>IF(A344="","",WEEKNUM(A344,21))</f>
        <v/>
      </c>
      <c r="G344" s="21">
        <f>IF(OR(C344="",N(D344)=0),"",C344/D344)</f>
        <v/>
      </c>
      <c r="H344" s="21">
        <f>IF(A344="","",IFERROR(INDEX(Weight!$B$2:$B$1000,MATCH(IF(_xlfn.MAXIFS(Weight!$A$2:$A$1000,Weight!$A$2:$A$1000,"&lt;="&amp;A344)&gt;0,_xlfn.MAXIFS(Weight!$A$2:$A$1000,Weight!$A$2:$A$1000,"&lt;="&amp;A344),_xlfn.MINIFS(Weight!$A$2:$A$1000,Weight!$A$2:$A$1000,"&gt;0")),Weight!$A$2:$A$1000,0)),Settings!$B$6))</f>
        <v/>
      </c>
      <c r="I344" s="21">
        <f>IF(B344="","",IFERROR(INDEX(Settings!$B$10:$B$21,MATCH(B344,Settings!$A$10:$A$21,0)),4))</f>
        <v/>
      </c>
      <c r="J344" s="22">
        <f>IF(OR(A344="",C344="",I344=""),"",I344*H344*C344/60)</f>
        <v/>
      </c>
    </row>
    <row r="345">
      <c r="A345" s="35" t="n"/>
      <c r="B345" s="33" t="n"/>
      <c r="C345" s="31" t="n"/>
      <c r="D345" s="30" t="n"/>
      <c r="E345" s="33" t="n"/>
      <c r="F345" s="20">
        <f>IF(A345="","",WEEKNUM(A345,21))</f>
        <v/>
      </c>
      <c r="G345" s="21">
        <f>IF(OR(C345="",N(D345)=0),"",C345/D345)</f>
        <v/>
      </c>
      <c r="H345" s="21">
        <f>IF(A345="","",IFERROR(INDEX(Weight!$B$2:$B$1000,MATCH(IF(_xlfn.MAXIFS(Weight!$A$2:$A$1000,Weight!$A$2:$A$1000,"&lt;="&amp;A345)&gt;0,_xlfn.MAXIFS(Weight!$A$2:$A$1000,Weight!$A$2:$A$1000,"&lt;="&amp;A345),_xlfn.MINIFS(Weight!$A$2:$A$1000,Weight!$A$2:$A$1000,"&gt;0")),Weight!$A$2:$A$1000,0)),Settings!$B$6))</f>
        <v/>
      </c>
      <c r="I345" s="21">
        <f>IF(B345="","",IFERROR(INDEX(Settings!$B$10:$B$21,MATCH(B345,Settings!$A$10:$A$21,0)),4))</f>
        <v/>
      </c>
      <c r="J345" s="22">
        <f>IF(OR(A345="",C345="",I345=""),"",I345*H345*C345/60)</f>
        <v/>
      </c>
    </row>
    <row r="346">
      <c r="A346" s="35" t="n"/>
      <c r="B346" s="33" t="n"/>
      <c r="C346" s="31" t="n"/>
      <c r="D346" s="30" t="n"/>
      <c r="E346" s="33" t="n"/>
      <c r="F346" s="20">
        <f>IF(A346="","",WEEKNUM(A346,21))</f>
        <v/>
      </c>
      <c r="G346" s="21">
        <f>IF(OR(C346="",N(D346)=0),"",C346/D346)</f>
        <v/>
      </c>
      <c r="H346" s="21">
        <f>IF(A346="","",IFERROR(INDEX(Weight!$B$2:$B$1000,MATCH(IF(_xlfn.MAXIFS(Weight!$A$2:$A$1000,Weight!$A$2:$A$1000,"&lt;="&amp;A346)&gt;0,_xlfn.MAXIFS(Weight!$A$2:$A$1000,Weight!$A$2:$A$1000,"&lt;="&amp;A346),_xlfn.MINIFS(Weight!$A$2:$A$1000,Weight!$A$2:$A$1000,"&gt;0")),Weight!$A$2:$A$1000,0)),Settings!$B$6))</f>
        <v/>
      </c>
      <c r="I346" s="21">
        <f>IF(B346="","",IFERROR(INDEX(Settings!$B$10:$B$21,MATCH(B346,Settings!$A$10:$A$21,0)),4))</f>
        <v/>
      </c>
      <c r="J346" s="22">
        <f>IF(OR(A346="",C346="",I346=""),"",I346*H346*C346/60)</f>
        <v/>
      </c>
    </row>
    <row r="347">
      <c r="A347" s="35" t="n"/>
      <c r="B347" s="33" t="n"/>
      <c r="C347" s="31" t="n"/>
      <c r="D347" s="30" t="n"/>
      <c r="E347" s="33" t="n"/>
      <c r="F347" s="20">
        <f>IF(A347="","",WEEKNUM(A347,21))</f>
        <v/>
      </c>
      <c r="G347" s="21">
        <f>IF(OR(C347="",N(D347)=0),"",C347/D347)</f>
        <v/>
      </c>
      <c r="H347" s="21">
        <f>IF(A347="","",IFERROR(INDEX(Weight!$B$2:$B$1000,MATCH(IF(_xlfn.MAXIFS(Weight!$A$2:$A$1000,Weight!$A$2:$A$1000,"&lt;="&amp;A347)&gt;0,_xlfn.MAXIFS(Weight!$A$2:$A$1000,Weight!$A$2:$A$1000,"&lt;="&amp;A347),_xlfn.MINIFS(Weight!$A$2:$A$1000,Weight!$A$2:$A$1000,"&gt;0")),Weight!$A$2:$A$1000,0)),Settings!$B$6))</f>
        <v/>
      </c>
      <c r="I347" s="21">
        <f>IF(B347="","",IFERROR(INDEX(Settings!$B$10:$B$21,MATCH(B347,Settings!$A$10:$A$21,0)),4))</f>
        <v/>
      </c>
      <c r="J347" s="22">
        <f>IF(OR(A347="",C347="",I347=""),"",I347*H347*C347/60)</f>
        <v/>
      </c>
    </row>
    <row r="348">
      <c r="A348" s="35" t="n"/>
      <c r="B348" s="33" t="n"/>
      <c r="C348" s="31" t="n"/>
      <c r="D348" s="30" t="n"/>
      <c r="E348" s="33" t="n"/>
      <c r="F348" s="20">
        <f>IF(A348="","",WEEKNUM(A348,21))</f>
        <v/>
      </c>
      <c r="G348" s="21">
        <f>IF(OR(C348="",N(D348)=0),"",C348/D348)</f>
        <v/>
      </c>
      <c r="H348" s="21">
        <f>IF(A348="","",IFERROR(INDEX(Weight!$B$2:$B$1000,MATCH(IF(_xlfn.MAXIFS(Weight!$A$2:$A$1000,Weight!$A$2:$A$1000,"&lt;="&amp;A348)&gt;0,_xlfn.MAXIFS(Weight!$A$2:$A$1000,Weight!$A$2:$A$1000,"&lt;="&amp;A348),_xlfn.MINIFS(Weight!$A$2:$A$1000,Weight!$A$2:$A$1000,"&gt;0")),Weight!$A$2:$A$1000,0)),Settings!$B$6))</f>
        <v/>
      </c>
      <c r="I348" s="21">
        <f>IF(B348="","",IFERROR(INDEX(Settings!$B$10:$B$21,MATCH(B348,Settings!$A$10:$A$21,0)),4))</f>
        <v/>
      </c>
      <c r="J348" s="22">
        <f>IF(OR(A348="",C348="",I348=""),"",I348*H348*C348/60)</f>
        <v/>
      </c>
    </row>
    <row r="349">
      <c r="A349" s="35" t="n"/>
      <c r="B349" s="33" t="n"/>
      <c r="C349" s="31" t="n"/>
      <c r="D349" s="30" t="n"/>
      <c r="E349" s="33" t="n"/>
      <c r="F349" s="20">
        <f>IF(A349="","",WEEKNUM(A349,21))</f>
        <v/>
      </c>
      <c r="G349" s="21">
        <f>IF(OR(C349="",N(D349)=0),"",C349/D349)</f>
        <v/>
      </c>
      <c r="H349" s="21">
        <f>IF(A349="","",IFERROR(INDEX(Weight!$B$2:$B$1000,MATCH(IF(_xlfn.MAXIFS(Weight!$A$2:$A$1000,Weight!$A$2:$A$1000,"&lt;="&amp;A349)&gt;0,_xlfn.MAXIFS(Weight!$A$2:$A$1000,Weight!$A$2:$A$1000,"&lt;="&amp;A349),_xlfn.MINIFS(Weight!$A$2:$A$1000,Weight!$A$2:$A$1000,"&gt;0")),Weight!$A$2:$A$1000,0)),Settings!$B$6))</f>
        <v/>
      </c>
      <c r="I349" s="21">
        <f>IF(B349="","",IFERROR(INDEX(Settings!$B$10:$B$21,MATCH(B349,Settings!$A$10:$A$21,0)),4))</f>
        <v/>
      </c>
      <c r="J349" s="22">
        <f>IF(OR(A349="",C349="",I349=""),"",I349*H349*C349/60)</f>
        <v/>
      </c>
    </row>
    <row r="350">
      <c r="A350" s="35" t="n"/>
      <c r="B350" s="33" t="n"/>
      <c r="C350" s="31" t="n"/>
      <c r="D350" s="30" t="n"/>
      <c r="E350" s="33" t="n"/>
      <c r="F350" s="20">
        <f>IF(A350="","",WEEKNUM(A350,21))</f>
        <v/>
      </c>
      <c r="G350" s="21">
        <f>IF(OR(C350="",N(D350)=0),"",C350/D350)</f>
        <v/>
      </c>
      <c r="H350" s="21">
        <f>IF(A350="","",IFERROR(INDEX(Weight!$B$2:$B$1000,MATCH(IF(_xlfn.MAXIFS(Weight!$A$2:$A$1000,Weight!$A$2:$A$1000,"&lt;="&amp;A350)&gt;0,_xlfn.MAXIFS(Weight!$A$2:$A$1000,Weight!$A$2:$A$1000,"&lt;="&amp;A350),_xlfn.MINIFS(Weight!$A$2:$A$1000,Weight!$A$2:$A$1000,"&gt;0")),Weight!$A$2:$A$1000,0)),Settings!$B$6))</f>
        <v/>
      </c>
      <c r="I350" s="21">
        <f>IF(B350="","",IFERROR(INDEX(Settings!$B$10:$B$21,MATCH(B350,Settings!$A$10:$A$21,0)),4))</f>
        <v/>
      </c>
      <c r="J350" s="22">
        <f>IF(OR(A350="",C350="",I350=""),"",I350*H350*C350/60)</f>
        <v/>
      </c>
    </row>
    <row r="351">
      <c r="A351" s="35" t="n"/>
      <c r="B351" s="33" t="n"/>
      <c r="C351" s="31" t="n"/>
      <c r="D351" s="30" t="n"/>
      <c r="E351" s="33" t="n"/>
      <c r="F351" s="20">
        <f>IF(A351="","",WEEKNUM(A351,21))</f>
        <v/>
      </c>
      <c r="G351" s="21">
        <f>IF(OR(C351="",N(D351)=0),"",C351/D351)</f>
        <v/>
      </c>
      <c r="H351" s="21">
        <f>IF(A351="","",IFERROR(INDEX(Weight!$B$2:$B$1000,MATCH(IF(_xlfn.MAXIFS(Weight!$A$2:$A$1000,Weight!$A$2:$A$1000,"&lt;="&amp;A351)&gt;0,_xlfn.MAXIFS(Weight!$A$2:$A$1000,Weight!$A$2:$A$1000,"&lt;="&amp;A351),_xlfn.MINIFS(Weight!$A$2:$A$1000,Weight!$A$2:$A$1000,"&gt;0")),Weight!$A$2:$A$1000,0)),Settings!$B$6))</f>
        <v/>
      </c>
      <c r="I351" s="21">
        <f>IF(B351="","",IFERROR(INDEX(Settings!$B$10:$B$21,MATCH(B351,Settings!$A$10:$A$21,0)),4))</f>
        <v/>
      </c>
      <c r="J351" s="22">
        <f>IF(OR(A351="",C351="",I351=""),"",I351*H351*C351/60)</f>
        <v/>
      </c>
    </row>
    <row r="352">
      <c r="A352" s="35" t="n"/>
      <c r="B352" s="33" t="n"/>
      <c r="C352" s="31" t="n"/>
      <c r="D352" s="30" t="n"/>
      <c r="E352" s="33" t="n"/>
      <c r="F352" s="20">
        <f>IF(A352="","",WEEKNUM(A352,21))</f>
        <v/>
      </c>
      <c r="G352" s="21">
        <f>IF(OR(C352="",N(D352)=0),"",C352/D352)</f>
        <v/>
      </c>
      <c r="H352" s="21">
        <f>IF(A352="","",IFERROR(INDEX(Weight!$B$2:$B$1000,MATCH(IF(_xlfn.MAXIFS(Weight!$A$2:$A$1000,Weight!$A$2:$A$1000,"&lt;="&amp;A352)&gt;0,_xlfn.MAXIFS(Weight!$A$2:$A$1000,Weight!$A$2:$A$1000,"&lt;="&amp;A352),_xlfn.MINIFS(Weight!$A$2:$A$1000,Weight!$A$2:$A$1000,"&gt;0")),Weight!$A$2:$A$1000,0)),Settings!$B$6))</f>
        <v/>
      </c>
      <c r="I352" s="21">
        <f>IF(B352="","",IFERROR(INDEX(Settings!$B$10:$B$21,MATCH(B352,Settings!$A$10:$A$21,0)),4))</f>
        <v/>
      </c>
      <c r="J352" s="22">
        <f>IF(OR(A352="",C352="",I352=""),"",I352*H352*C352/60)</f>
        <v/>
      </c>
    </row>
    <row r="353">
      <c r="A353" s="35" t="n"/>
      <c r="B353" s="33" t="n"/>
      <c r="C353" s="31" t="n"/>
      <c r="D353" s="30" t="n"/>
      <c r="E353" s="33" t="n"/>
      <c r="F353" s="20">
        <f>IF(A353="","",WEEKNUM(A353,21))</f>
        <v/>
      </c>
      <c r="G353" s="21">
        <f>IF(OR(C353="",N(D353)=0),"",C353/D353)</f>
        <v/>
      </c>
      <c r="H353" s="21">
        <f>IF(A353="","",IFERROR(INDEX(Weight!$B$2:$B$1000,MATCH(IF(_xlfn.MAXIFS(Weight!$A$2:$A$1000,Weight!$A$2:$A$1000,"&lt;="&amp;A353)&gt;0,_xlfn.MAXIFS(Weight!$A$2:$A$1000,Weight!$A$2:$A$1000,"&lt;="&amp;A353),_xlfn.MINIFS(Weight!$A$2:$A$1000,Weight!$A$2:$A$1000,"&gt;0")),Weight!$A$2:$A$1000,0)),Settings!$B$6))</f>
        <v/>
      </c>
      <c r="I353" s="21">
        <f>IF(B353="","",IFERROR(INDEX(Settings!$B$10:$B$21,MATCH(B353,Settings!$A$10:$A$21,0)),4))</f>
        <v/>
      </c>
      <c r="J353" s="22">
        <f>IF(OR(A353="",C353="",I353=""),"",I353*H353*C353/60)</f>
        <v/>
      </c>
    </row>
    <row r="354">
      <c r="A354" s="35" t="n"/>
      <c r="B354" s="33" t="n"/>
      <c r="C354" s="31" t="n"/>
      <c r="D354" s="30" t="n"/>
      <c r="E354" s="33" t="n"/>
      <c r="F354" s="20">
        <f>IF(A354="","",WEEKNUM(A354,21))</f>
        <v/>
      </c>
      <c r="G354" s="21">
        <f>IF(OR(C354="",N(D354)=0),"",C354/D354)</f>
        <v/>
      </c>
      <c r="H354" s="21">
        <f>IF(A354="","",IFERROR(INDEX(Weight!$B$2:$B$1000,MATCH(IF(_xlfn.MAXIFS(Weight!$A$2:$A$1000,Weight!$A$2:$A$1000,"&lt;="&amp;A354)&gt;0,_xlfn.MAXIFS(Weight!$A$2:$A$1000,Weight!$A$2:$A$1000,"&lt;="&amp;A354),_xlfn.MINIFS(Weight!$A$2:$A$1000,Weight!$A$2:$A$1000,"&gt;0")),Weight!$A$2:$A$1000,0)),Settings!$B$6))</f>
        <v/>
      </c>
      <c r="I354" s="21">
        <f>IF(B354="","",IFERROR(INDEX(Settings!$B$10:$B$21,MATCH(B354,Settings!$A$10:$A$21,0)),4))</f>
        <v/>
      </c>
      <c r="J354" s="22">
        <f>IF(OR(A354="",C354="",I354=""),"",I354*H354*C354/60)</f>
        <v/>
      </c>
    </row>
    <row r="355">
      <c r="A355" s="35" t="n"/>
      <c r="B355" s="33" t="n"/>
      <c r="C355" s="31" t="n"/>
      <c r="D355" s="30" t="n"/>
      <c r="E355" s="33" t="n"/>
      <c r="F355" s="20">
        <f>IF(A355="","",WEEKNUM(A355,21))</f>
        <v/>
      </c>
      <c r="G355" s="21">
        <f>IF(OR(C355="",N(D355)=0),"",C355/D355)</f>
        <v/>
      </c>
      <c r="H355" s="21">
        <f>IF(A355="","",IFERROR(INDEX(Weight!$B$2:$B$1000,MATCH(IF(_xlfn.MAXIFS(Weight!$A$2:$A$1000,Weight!$A$2:$A$1000,"&lt;="&amp;A355)&gt;0,_xlfn.MAXIFS(Weight!$A$2:$A$1000,Weight!$A$2:$A$1000,"&lt;="&amp;A355),_xlfn.MINIFS(Weight!$A$2:$A$1000,Weight!$A$2:$A$1000,"&gt;0")),Weight!$A$2:$A$1000,0)),Settings!$B$6))</f>
        <v/>
      </c>
      <c r="I355" s="21">
        <f>IF(B355="","",IFERROR(INDEX(Settings!$B$10:$B$21,MATCH(B355,Settings!$A$10:$A$21,0)),4))</f>
        <v/>
      </c>
      <c r="J355" s="22">
        <f>IF(OR(A355="",C355="",I355=""),"",I355*H355*C355/60)</f>
        <v/>
      </c>
    </row>
    <row r="356">
      <c r="A356" s="35" t="n"/>
      <c r="B356" s="33" t="n"/>
      <c r="C356" s="31" t="n"/>
      <c r="D356" s="30" t="n"/>
      <c r="E356" s="33" t="n"/>
      <c r="F356" s="20">
        <f>IF(A356="","",WEEKNUM(A356,21))</f>
        <v/>
      </c>
      <c r="G356" s="21">
        <f>IF(OR(C356="",N(D356)=0),"",C356/D356)</f>
        <v/>
      </c>
      <c r="H356" s="21">
        <f>IF(A356="","",IFERROR(INDEX(Weight!$B$2:$B$1000,MATCH(IF(_xlfn.MAXIFS(Weight!$A$2:$A$1000,Weight!$A$2:$A$1000,"&lt;="&amp;A356)&gt;0,_xlfn.MAXIFS(Weight!$A$2:$A$1000,Weight!$A$2:$A$1000,"&lt;="&amp;A356),_xlfn.MINIFS(Weight!$A$2:$A$1000,Weight!$A$2:$A$1000,"&gt;0")),Weight!$A$2:$A$1000,0)),Settings!$B$6))</f>
        <v/>
      </c>
      <c r="I356" s="21">
        <f>IF(B356="","",IFERROR(INDEX(Settings!$B$10:$B$21,MATCH(B356,Settings!$A$10:$A$21,0)),4))</f>
        <v/>
      </c>
      <c r="J356" s="22">
        <f>IF(OR(A356="",C356="",I356=""),"",I356*H356*C356/60)</f>
        <v/>
      </c>
    </row>
    <row r="357">
      <c r="A357" s="35" t="n"/>
      <c r="B357" s="33" t="n"/>
      <c r="C357" s="31" t="n"/>
      <c r="D357" s="30" t="n"/>
      <c r="E357" s="33" t="n"/>
      <c r="F357" s="20">
        <f>IF(A357="","",WEEKNUM(A357,21))</f>
        <v/>
      </c>
      <c r="G357" s="21">
        <f>IF(OR(C357="",N(D357)=0),"",C357/D357)</f>
        <v/>
      </c>
      <c r="H357" s="21">
        <f>IF(A357="","",IFERROR(INDEX(Weight!$B$2:$B$1000,MATCH(IF(_xlfn.MAXIFS(Weight!$A$2:$A$1000,Weight!$A$2:$A$1000,"&lt;="&amp;A357)&gt;0,_xlfn.MAXIFS(Weight!$A$2:$A$1000,Weight!$A$2:$A$1000,"&lt;="&amp;A357),_xlfn.MINIFS(Weight!$A$2:$A$1000,Weight!$A$2:$A$1000,"&gt;0")),Weight!$A$2:$A$1000,0)),Settings!$B$6))</f>
        <v/>
      </c>
      <c r="I357" s="21">
        <f>IF(B357="","",IFERROR(INDEX(Settings!$B$10:$B$21,MATCH(B357,Settings!$A$10:$A$21,0)),4))</f>
        <v/>
      </c>
      <c r="J357" s="22">
        <f>IF(OR(A357="",C357="",I357=""),"",I357*H357*C357/60)</f>
        <v/>
      </c>
    </row>
    <row r="358">
      <c r="A358" s="35" t="n"/>
      <c r="B358" s="33" t="n"/>
      <c r="C358" s="31" t="n"/>
      <c r="D358" s="30" t="n"/>
      <c r="E358" s="33" t="n"/>
      <c r="F358" s="20">
        <f>IF(A358="","",WEEKNUM(A358,21))</f>
        <v/>
      </c>
      <c r="G358" s="21">
        <f>IF(OR(C358="",N(D358)=0),"",C358/D358)</f>
        <v/>
      </c>
      <c r="H358" s="21">
        <f>IF(A358="","",IFERROR(INDEX(Weight!$B$2:$B$1000,MATCH(IF(_xlfn.MAXIFS(Weight!$A$2:$A$1000,Weight!$A$2:$A$1000,"&lt;="&amp;A358)&gt;0,_xlfn.MAXIFS(Weight!$A$2:$A$1000,Weight!$A$2:$A$1000,"&lt;="&amp;A358),_xlfn.MINIFS(Weight!$A$2:$A$1000,Weight!$A$2:$A$1000,"&gt;0")),Weight!$A$2:$A$1000,0)),Settings!$B$6))</f>
        <v/>
      </c>
      <c r="I358" s="21">
        <f>IF(B358="","",IFERROR(INDEX(Settings!$B$10:$B$21,MATCH(B358,Settings!$A$10:$A$21,0)),4))</f>
        <v/>
      </c>
      <c r="J358" s="22">
        <f>IF(OR(A358="",C358="",I358=""),"",I358*H358*C358/60)</f>
        <v/>
      </c>
    </row>
    <row r="359">
      <c r="A359" s="35" t="n"/>
      <c r="B359" s="33" t="n"/>
      <c r="C359" s="31" t="n"/>
      <c r="D359" s="30" t="n"/>
      <c r="E359" s="33" t="n"/>
      <c r="F359" s="20">
        <f>IF(A359="","",WEEKNUM(A359,21))</f>
        <v/>
      </c>
      <c r="G359" s="21">
        <f>IF(OR(C359="",N(D359)=0),"",C359/D359)</f>
        <v/>
      </c>
      <c r="H359" s="21">
        <f>IF(A359="","",IFERROR(INDEX(Weight!$B$2:$B$1000,MATCH(IF(_xlfn.MAXIFS(Weight!$A$2:$A$1000,Weight!$A$2:$A$1000,"&lt;="&amp;A359)&gt;0,_xlfn.MAXIFS(Weight!$A$2:$A$1000,Weight!$A$2:$A$1000,"&lt;="&amp;A359),_xlfn.MINIFS(Weight!$A$2:$A$1000,Weight!$A$2:$A$1000,"&gt;0")),Weight!$A$2:$A$1000,0)),Settings!$B$6))</f>
        <v/>
      </c>
      <c r="I359" s="21">
        <f>IF(B359="","",IFERROR(INDEX(Settings!$B$10:$B$21,MATCH(B359,Settings!$A$10:$A$21,0)),4))</f>
        <v/>
      </c>
      <c r="J359" s="22">
        <f>IF(OR(A359="",C359="",I359=""),"",I359*H359*C359/60)</f>
        <v/>
      </c>
    </row>
    <row r="360">
      <c r="A360" s="35" t="n"/>
      <c r="B360" s="33" t="n"/>
      <c r="C360" s="31" t="n"/>
      <c r="D360" s="30" t="n"/>
      <c r="E360" s="33" t="n"/>
      <c r="F360" s="20">
        <f>IF(A360="","",WEEKNUM(A360,21))</f>
        <v/>
      </c>
      <c r="G360" s="21">
        <f>IF(OR(C360="",N(D360)=0),"",C360/D360)</f>
        <v/>
      </c>
      <c r="H360" s="21">
        <f>IF(A360="","",IFERROR(INDEX(Weight!$B$2:$B$1000,MATCH(IF(_xlfn.MAXIFS(Weight!$A$2:$A$1000,Weight!$A$2:$A$1000,"&lt;="&amp;A360)&gt;0,_xlfn.MAXIFS(Weight!$A$2:$A$1000,Weight!$A$2:$A$1000,"&lt;="&amp;A360),_xlfn.MINIFS(Weight!$A$2:$A$1000,Weight!$A$2:$A$1000,"&gt;0")),Weight!$A$2:$A$1000,0)),Settings!$B$6))</f>
        <v/>
      </c>
      <c r="I360" s="21">
        <f>IF(B360="","",IFERROR(INDEX(Settings!$B$10:$B$21,MATCH(B360,Settings!$A$10:$A$21,0)),4))</f>
        <v/>
      </c>
      <c r="J360" s="22">
        <f>IF(OR(A360="",C360="",I360=""),"",I360*H360*C360/60)</f>
        <v/>
      </c>
    </row>
    <row r="361">
      <c r="A361" s="35" t="n"/>
      <c r="B361" s="33" t="n"/>
      <c r="C361" s="31" t="n"/>
      <c r="D361" s="30" t="n"/>
      <c r="E361" s="33" t="n"/>
      <c r="F361" s="20">
        <f>IF(A361="","",WEEKNUM(A361,21))</f>
        <v/>
      </c>
      <c r="G361" s="21">
        <f>IF(OR(C361="",N(D361)=0),"",C361/D361)</f>
        <v/>
      </c>
      <c r="H361" s="21">
        <f>IF(A361="","",IFERROR(INDEX(Weight!$B$2:$B$1000,MATCH(IF(_xlfn.MAXIFS(Weight!$A$2:$A$1000,Weight!$A$2:$A$1000,"&lt;="&amp;A361)&gt;0,_xlfn.MAXIFS(Weight!$A$2:$A$1000,Weight!$A$2:$A$1000,"&lt;="&amp;A361),_xlfn.MINIFS(Weight!$A$2:$A$1000,Weight!$A$2:$A$1000,"&gt;0")),Weight!$A$2:$A$1000,0)),Settings!$B$6))</f>
        <v/>
      </c>
      <c r="I361" s="21">
        <f>IF(B361="","",IFERROR(INDEX(Settings!$B$10:$B$21,MATCH(B361,Settings!$A$10:$A$21,0)),4))</f>
        <v/>
      </c>
      <c r="J361" s="22">
        <f>IF(OR(A361="",C361="",I361=""),"",I361*H361*C361/60)</f>
        <v/>
      </c>
    </row>
    <row r="362">
      <c r="A362" s="35" t="n"/>
      <c r="B362" s="33" t="n"/>
      <c r="C362" s="31" t="n"/>
      <c r="D362" s="30" t="n"/>
      <c r="E362" s="33" t="n"/>
      <c r="F362" s="20">
        <f>IF(A362="","",WEEKNUM(A362,21))</f>
        <v/>
      </c>
      <c r="G362" s="21">
        <f>IF(OR(C362="",N(D362)=0),"",C362/D362)</f>
        <v/>
      </c>
      <c r="H362" s="21">
        <f>IF(A362="","",IFERROR(INDEX(Weight!$B$2:$B$1000,MATCH(IF(_xlfn.MAXIFS(Weight!$A$2:$A$1000,Weight!$A$2:$A$1000,"&lt;="&amp;A362)&gt;0,_xlfn.MAXIFS(Weight!$A$2:$A$1000,Weight!$A$2:$A$1000,"&lt;="&amp;A362),_xlfn.MINIFS(Weight!$A$2:$A$1000,Weight!$A$2:$A$1000,"&gt;0")),Weight!$A$2:$A$1000,0)),Settings!$B$6))</f>
        <v/>
      </c>
      <c r="I362" s="21">
        <f>IF(B362="","",IFERROR(INDEX(Settings!$B$10:$B$21,MATCH(B362,Settings!$A$10:$A$21,0)),4))</f>
        <v/>
      </c>
      <c r="J362" s="22">
        <f>IF(OR(A362="",C362="",I362=""),"",I362*H362*C362/60)</f>
        <v/>
      </c>
    </row>
    <row r="363">
      <c r="A363" s="35" t="n"/>
      <c r="B363" s="33" t="n"/>
      <c r="C363" s="31" t="n"/>
      <c r="D363" s="30" t="n"/>
      <c r="E363" s="33" t="n"/>
      <c r="F363" s="20">
        <f>IF(A363="","",WEEKNUM(A363,21))</f>
        <v/>
      </c>
      <c r="G363" s="21">
        <f>IF(OR(C363="",N(D363)=0),"",C363/D363)</f>
        <v/>
      </c>
      <c r="H363" s="21">
        <f>IF(A363="","",IFERROR(INDEX(Weight!$B$2:$B$1000,MATCH(IF(_xlfn.MAXIFS(Weight!$A$2:$A$1000,Weight!$A$2:$A$1000,"&lt;="&amp;A363)&gt;0,_xlfn.MAXIFS(Weight!$A$2:$A$1000,Weight!$A$2:$A$1000,"&lt;="&amp;A363),_xlfn.MINIFS(Weight!$A$2:$A$1000,Weight!$A$2:$A$1000,"&gt;0")),Weight!$A$2:$A$1000,0)),Settings!$B$6))</f>
        <v/>
      </c>
      <c r="I363" s="21">
        <f>IF(B363="","",IFERROR(INDEX(Settings!$B$10:$B$21,MATCH(B363,Settings!$A$10:$A$21,0)),4))</f>
        <v/>
      </c>
      <c r="J363" s="22">
        <f>IF(OR(A363="",C363="",I363=""),"",I363*H363*C363/60)</f>
        <v/>
      </c>
    </row>
    <row r="364">
      <c r="A364" s="35" t="n"/>
      <c r="B364" s="33" t="n"/>
      <c r="C364" s="31" t="n"/>
      <c r="D364" s="30" t="n"/>
      <c r="E364" s="33" t="n"/>
      <c r="F364" s="20">
        <f>IF(A364="","",WEEKNUM(A364,21))</f>
        <v/>
      </c>
      <c r="G364" s="21">
        <f>IF(OR(C364="",N(D364)=0),"",C364/D364)</f>
        <v/>
      </c>
      <c r="H364" s="21">
        <f>IF(A364="","",IFERROR(INDEX(Weight!$B$2:$B$1000,MATCH(IF(_xlfn.MAXIFS(Weight!$A$2:$A$1000,Weight!$A$2:$A$1000,"&lt;="&amp;A364)&gt;0,_xlfn.MAXIFS(Weight!$A$2:$A$1000,Weight!$A$2:$A$1000,"&lt;="&amp;A364),_xlfn.MINIFS(Weight!$A$2:$A$1000,Weight!$A$2:$A$1000,"&gt;0")),Weight!$A$2:$A$1000,0)),Settings!$B$6))</f>
        <v/>
      </c>
      <c r="I364" s="21">
        <f>IF(B364="","",IFERROR(INDEX(Settings!$B$10:$B$21,MATCH(B364,Settings!$A$10:$A$21,0)),4))</f>
        <v/>
      </c>
      <c r="J364" s="22">
        <f>IF(OR(A364="",C364="",I364=""),"",I364*H364*C364/60)</f>
        <v/>
      </c>
    </row>
    <row r="365">
      <c r="A365" s="35" t="n"/>
      <c r="B365" s="33" t="n"/>
      <c r="C365" s="31" t="n"/>
      <c r="D365" s="30" t="n"/>
      <c r="E365" s="33" t="n"/>
      <c r="F365" s="20">
        <f>IF(A365="","",WEEKNUM(A365,21))</f>
        <v/>
      </c>
      <c r="G365" s="21">
        <f>IF(OR(C365="",N(D365)=0),"",C365/D365)</f>
        <v/>
      </c>
      <c r="H365" s="21">
        <f>IF(A365="","",IFERROR(INDEX(Weight!$B$2:$B$1000,MATCH(IF(_xlfn.MAXIFS(Weight!$A$2:$A$1000,Weight!$A$2:$A$1000,"&lt;="&amp;A365)&gt;0,_xlfn.MAXIFS(Weight!$A$2:$A$1000,Weight!$A$2:$A$1000,"&lt;="&amp;A365),_xlfn.MINIFS(Weight!$A$2:$A$1000,Weight!$A$2:$A$1000,"&gt;0")),Weight!$A$2:$A$1000,0)),Settings!$B$6))</f>
        <v/>
      </c>
      <c r="I365" s="21">
        <f>IF(B365="","",IFERROR(INDEX(Settings!$B$10:$B$21,MATCH(B365,Settings!$A$10:$A$21,0)),4))</f>
        <v/>
      </c>
      <c r="J365" s="22">
        <f>IF(OR(A365="",C365="",I365=""),"",I365*H365*C365/60)</f>
        <v/>
      </c>
    </row>
    <row r="366">
      <c r="A366" s="35" t="n"/>
      <c r="B366" s="33" t="n"/>
      <c r="C366" s="31" t="n"/>
      <c r="D366" s="30" t="n"/>
      <c r="E366" s="33" t="n"/>
      <c r="F366" s="20">
        <f>IF(A366="","",WEEKNUM(A366,21))</f>
        <v/>
      </c>
      <c r="G366" s="21">
        <f>IF(OR(C366="",N(D366)=0),"",C366/D366)</f>
        <v/>
      </c>
      <c r="H366" s="21">
        <f>IF(A366="","",IFERROR(INDEX(Weight!$B$2:$B$1000,MATCH(IF(_xlfn.MAXIFS(Weight!$A$2:$A$1000,Weight!$A$2:$A$1000,"&lt;="&amp;A366)&gt;0,_xlfn.MAXIFS(Weight!$A$2:$A$1000,Weight!$A$2:$A$1000,"&lt;="&amp;A366),_xlfn.MINIFS(Weight!$A$2:$A$1000,Weight!$A$2:$A$1000,"&gt;0")),Weight!$A$2:$A$1000,0)),Settings!$B$6))</f>
        <v/>
      </c>
      <c r="I366" s="21">
        <f>IF(B366="","",IFERROR(INDEX(Settings!$B$10:$B$21,MATCH(B366,Settings!$A$10:$A$21,0)),4))</f>
        <v/>
      </c>
      <c r="J366" s="22">
        <f>IF(OR(A366="",C366="",I366=""),"",I366*H366*C366/60)</f>
        <v/>
      </c>
    </row>
    <row r="367">
      <c r="A367" s="35" t="n"/>
      <c r="B367" s="33" t="n"/>
      <c r="C367" s="31" t="n"/>
      <c r="D367" s="30" t="n"/>
      <c r="E367" s="33" t="n"/>
      <c r="F367" s="20">
        <f>IF(A367="","",WEEKNUM(A367,21))</f>
        <v/>
      </c>
      <c r="G367" s="21">
        <f>IF(OR(C367="",N(D367)=0),"",C367/D367)</f>
        <v/>
      </c>
      <c r="H367" s="21">
        <f>IF(A367="","",IFERROR(INDEX(Weight!$B$2:$B$1000,MATCH(IF(_xlfn.MAXIFS(Weight!$A$2:$A$1000,Weight!$A$2:$A$1000,"&lt;="&amp;A367)&gt;0,_xlfn.MAXIFS(Weight!$A$2:$A$1000,Weight!$A$2:$A$1000,"&lt;="&amp;A367),_xlfn.MINIFS(Weight!$A$2:$A$1000,Weight!$A$2:$A$1000,"&gt;0")),Weight!$A$2:$A$1000,0)),Settings!$B$6))</f>
        <v/>
      </c>
      <c r="I367" s="21">
        <f>IF(B367="","",IFERROR(INDEX(Settings!$B$10:$B$21,MATCH(B367,Settings!$A$10:$A$21,0)),4))</f>
        <v/>
      </c>
      <c r="J367" s="22">
        <f>IF(OR(A367="",C367="",I367=""),"",I367*H367*C367/60)</f>
        <v/>
      </c>
    </row>
    <row r="368">
      <c r="A368" s="35" t="n"/>
      <c r="B368" s="33" t="n"/>
      <c r="C368" s="31" t="n"/>
      <c r="D368" s="30" t="n"/>
      <c r="E368" s="33" t="n"/>
      <c r="F368" s="20">
        <f>IF(A368="","",WEEKNUM(A368,21))</f>
        <v/>
      </c>
      <c r="G368" s="21">
        <f>IF(OR(C368="",N(D368)=0),"",C368/D368)</f>
        <v/>
      </c>
      <c r="H368" s="21">
        <f>IF(A368="","",IFERROR(INDEX(Weight!$B$2:$B$1000,MATCH(IF(_xlfn.MAXIFS(Weight!$A$2:$A$1000,Weight!$A$2:$A$1000,"&lt;="&amp;A368)&gt;0,_xlfn.MAXIFS(Weight!$A$2:$A$1000,Weight!$A$2:$A$1000,"&lt;="&amp;A368),_xlfn.MINIFS(Weight!$A$2:$A$1000,Weight!$A$2:$A$1000,"&gt;0")),Weight!$A$2:$A$1000,0)),Settings!$B$6))</f>
        <v/>
      </c>
      <c r="I368" s="21">
        <f>IF(B368="","",IFERROR(INDEX(Settings!$B$10:$B$21,MATCH(B368,Settings!$A$10:$A$21,0)),4))</f>
        <v/>
      </c>
      <c r="J368" s="22">
        <f>IF(OR(A368="",C368="",I368=""),"",I368*H368*C368/60)</f>
        <v/>
      </c>
    </row>
    <row r="369">
      <c r="A369" s="35" t="n"/>
      <c r="B369" s="33" t="n"/>
      <c r="C369" s="31" t="n"/>
      <c r="D369" s="30" t="n"/>
      <c r="E369" s="33" t="n"/>
      <c r="F369" s="20">
        <f>IF(A369="","",WEEKNUM(A369,21))</f>
        <v/>
      </c>
      <c r="G369" s="21">
        <f>IF(OR(C369="",N(D369)=0),"",C369/D369)</f>
        <v/>
      </c>
      <c r="H369" s="21">
        <f>IF(A369="","",IFERROR(INDEX(Weight!$B$2:$B$1000,MATCH(IF(_xlfn.MAXIFS(Weight!$A$2:$A$1000,Weight!$A$2:$A$1000,"&lt;="&amp;A369)&gt;0,_xlfn.MAXIFS(Weight!$A$2:$A$1000,Weight!$A$2:$A$1000,"&lt;="&amp;A369),_xlfn.MINIFS(Weight!$A$2:$A$1000,Weight!$A$2:$A$1000,"&gt;0")),Weight!$A$2:$A$1000,0)),Settings!$B$6))</f>
        <v/>
      </c>
      <c r="I369" s="21">
        <f>IF(B369="","",IFERROR(INDEX(Settings!$B$10:$B$21,MATCH(B369,Settings!$A$10:$A$21,0)),4))</f>
        <v/>
      </c>
      <c r="J369" s="22">
        <f>IF(OR(A369="",C369="",I369=""),"",I369*H369*C369/60)</f>
        <v/>
      </c>
    </row>
    <row r="370">
      <c r="A370" s="35" t="n"/>
      <c r="B370" s="33" t="n"/>
      <c r="C370" s="31" t="n"/>
      <c r="D370" s="30" t="n"/>
      <c r="E370" s="33" t="n"/>
      <c r="F370" s="20">
        <f>IF(A370="","",WEEKNUM(A370,21))</f>
        <v/>
      </c>
      <c r="G370" s="21">
        <f>IF(OR(C370="",N(D370)=0),"",C370/D370)</f>
        <v/>
      </c>
      <c r="H370" s="21">
        <f>IF(A370="","",IFERROR(INDEX(Weight!$B$2:$B$1000,MATCH(IF(_xlfn.MAXIFS(Weight!$A$2:$A$1000,Weight!$A$2:$A$1000,"&lt;="&amp;A370)&gt;0,_xlfn.MAXIFS(Weight!$A$2:$A$1000,Weight!$A$2:$A$1000,"&lt;="&amp;A370),_xlfn.MINIFS(Weight!$A$2:$A$1000,Weight!$A$2:$A$1000,"&gt;0")),Weight!$A$2:$A$1000,0)),Settings!$B$6))</f>
        <v/>
      </c>
      <c r="I370" s="21">
        <f>IF(B370="","",IFERROR(INDEX(Settings!$B$10:$B$21,MATCH(B370,Settings!$A$10:$A$21,0)),4))</f>
        <v/>
      </c>
      <c r="J370" s="22">
        <f>IF(OR(A370="",C370="",I370=""),"",I370*H370*C370/60)</f>
        <v/>
      </c>
    </row>
    <row r="371">
      <c r="A371" s="35" t="n"/>
      <c r="B371" s="33" t="n"/>
      <c r="C371" s="31" t="n"/>
      <c r="D371" s="30" t="n"/>
      <c r="E371" s="33" t="n"/>
      <c r="F371" s="20">
        <f>IF(A371="","",WEEKNUM(A371,21))</f>
        <v/>
      </c>
      <c r="G371" s="21">
        <f>IF(OR(C371="",N(D371)=0),"",C371/D371)</f>
        <v/>
      </c>
      <c r="H371" s="21">
        <f>IF(A371="","",IFERROR(INDEX(Weight!$B$2:$B$1000,MATCH(IF(_xlfn.MAXIFS(Weight!$A$2:$A$1000,Weight!$A$2:$A$1000,"&lt;="&amp;A371)&gt;0,_xlfn.MAXIFS(Weight!$A$2:$A$1000,Weight!$A$2:$A$1000,"&lt;="&amp;A371),_xlfn.MINIFS(Weight!$A$2:$A$1000,Weight!$A$2:$A$1000,"&gt;0")),Weight!$A$2:$A$1000,0)),Settings!$B$6))</f>
        <v/>
      </c>
      <c r="I371" s="21">
        <f>IF(B371="","",IFERROR(INDEX(Settings!$B$10:$B$21,MATCH(B371,Settings!$A$10:$A$21,0)),4))</f>
        <v/>
      </c>
      <c r="J371" s="22">
        <f>IF(OR(A371="",C371="",I371=""),"",I371*H371*C371/60)</f>
        <v/>
      </c>
    </row>
    <row r="372">
      <c r="A372" s="35" t="n"/>
      <c r="B372" s="33" t="n"/>
      <c r="C372" s="31" t="n"/>
      <c r="D372" s="30" t="n"/>
      <c r="E372" s="33" t="n"/>
      <c r="F372" s="20">
        <f>IF(A372="","",WEEKNUM(A372,21))</f>
        <v/>
      </c>
      <c r="G372" s="21">
        <f>IF(OR(C372="",N(D372)=0),"",C372/D372)</f>
        <v/>
      </c>
      <c r="H372" s="21">
        <f>IF(A372="","",IFERROR(INDEX(Weight!$B$2:$B$1000,MATCH(IF(_xlfn.MAXIFS(Weight!$A$2:$A$1000,Weight!$A$2:$A$1000,"&lt;="&amp;A372)&gt;0,_xlfn.MAXIFS(Weight!$A$2:$A$1000,Weight!$A$2:$A$1000,"&lt;="&amp;A372),_xlfn.MINIFS(Weight!$A$2:$A$1000,Weight!$A$2:$A$1000,"&gt;0")),Weight!$A$2:$A$1000,0)),Settings!$B$6))</f>
        <v/>
      </c>
      <c r="I372" s="21">
        <f>IF(B372="","",IFERROR(INDEX(Settings!$B$10:$B$21,MATCH(B372,Settings!$A$10:$A$21,0)),4))</f>
        <v/>
      </c>
      <c r="J372" s="22">
        <f>IF(OR(A372="",C372="",I372=""),"",I372*H372*C372/60)</f>
        <v/>
      </c>
    </row>
    <row r="373">
      <c r="A373" s="35" t="n"/>
      <c r="B373" s="33" t="n"/>
      <c r="C373" s="31" t="n"/>
      <c r="D373" s="30" t="n"/>
      <c r="E373" s="33" t="n"/>
      <c r="F373" s="20">
        <f>IF(A373="","",WEEKNUM(A373,21))</f>
        <v/>
      </c>
      <c r="G373" s="21">
        <f>IF(OR(C373="",N(D373)=0),"",C373/D373)</f>
        <v/>
      </c>
      <c r="H373" s="21">
        <f>IF(A373="","",IFERROR(INDEX(Weight!$B$2:$B$1000,MATCH(IF(_xlfn.MAXIFS(Weight!$A$2:$A$1000,Weight!$A$2:$A$1000,"&lt;="&amp;A373)&gt;0,_xlfn.MAXIFS(Weight!$A$2:$A$1000,Weight!$A$2:$A$1000,"&lt;="&amp;A373),_xlfn.MINIFS(Weight!$A$2:$A$1000,Weight!$A$2:$A$1000,"&gt;0")),Weight!$A$2:$A$1000,0)),Settings!$B$6))</f>
        <v/>
      </c>
      <c r="I373" s="21">
        <f>IF(B373="","",IFERROR(INDEX(Settings!$B$10:$B$21,MATCH(B373,Settings!$A$10:$A$21,0)),4))</f>
        <v/>
      </c>
      <c r="J373" s="22">
        <f>IF(OR(A373="",C373="",I373=""),"",I373*H373*C373/60)</f>
        <v/>
      </c>
    </row>
    <row r="374">
      <c r="A374" s="35" t="n"/>
      <c r="B374" s="33" t="n"/>
      <c r="C374" s="31" t="n"/>
      <c r="D374" s="30" t="n"/>
      <c r="E374" s="33" t="n"/>
      <c r="F374" s="20">
        <f>IF(A374="","",WEEKNUM(A374,21))</f>
        <v/>
      </c>
      <c r="G374" s="21">
        <f>IF(OR(C374="",N(D374)=0),"",C374/D374)</f>
        <v/>
      </c>
      <c r="H374" s="21">
        <f>IF(A374="","",IFERROR(INDEX(Weight!$B$2:$B$1000,MATCH(IF(_xlfn.MAXIFS(Weight!$A$2:$A$1000,Weight!$A$2:$A$1000,"&lt;="&amp;A374)&gt;0,_xlfn.MAXIFS(Weight!$A$2:$A$1000,Weight!$A$2:$A$1000,"&lt;="&amp;A374),_xlfn.MINIFS(Weight!$A$2:$A$1000,Weight!$A$2:$A$1000,"&gt;0")),Weight!$A$2:$A$1000,0)),Settings!$B$6))</f>
        <v/>
      </c>
      <c r="I374" s="21">
        <f>IF(B374="","",IFERROR(INDEX(Settings!$B$10:$B$21,MATCH(B374,Settings!$A$10:$A$21,0)),4))</f>
        <v/>
      </c>
      <c r="J374" s="22">
        <f>IF(OR(A374="",C374="",I374=""),"",I374*H374*C374/60)</f>
        <v/>
      </c>
    </row>
    <row r="375">
      <c r="A375" s="35" t="n"/>
      <c r="B375" s="33" t="n"/>
      <c r="C375" s="31" t="n"/>
      <c r="D375" s="30" t="n"/>
      <c r="E375" s="33" t="n"/>
      <c r="F375" s="20">
        <f>IF(A375="","",WEEKNUM(A375,21))</f>
        <v/>
      </c>
      <c r="G375" s="21">
        <f>IF(OR(C375="",N(D375)=0),"",C375/D375)</f>
        <v/>
      </c>
      <c r="H375" s="21">
        <f>IF(A375="","",IFERROR(INDEX(Weight!$B$2:$B$1000,MATCH(IF(_xlfn.MAXIFS(Weight!$A$2:$A$1000,Weight!$A$2:$A$1000,"&lt;="&amp;A375)&gt;0,_xlfn.MAXIFS(Weight!$A$2:$A$1000,Weight!$A$2:$A$1000,"&lt;="&amp;A375),_xlfn.MINIFS(Weight!$A$2:$A$1000,Weight!$A$2:$A$1000,"&gt;0")),Weight!$A$2:$A$1000,0)),Settings!$B$6))</f>
        <v/>
      </c>
      <c r="I375" s="21">
        <f>IF(B375="","",IFERROR(INDEX(Settings!$B$10:$B$21,MATCH(B375,Settings!$A$10:$A$21,0)),4))</f>
        <v/>
      </c>
      <c r="J375" s="22">
        <f>IF(OR(A375="",C375="",I375=""),"",I375*H375*C375/60)</f>
        <v/>
      </c>
    </row>
    <row r="376">
      <c r="A376" s="35" t="n"/>
      <c r="B376" s="33" t="n"/>
      <c r="C376" s="31" t="n"/>
      <c r="D376" s="30" t="n"/>
      <c r="E376" s="33" t="n"/>
      <c r="F376" s="20">
        <f>IF(A376="","",WEEKNUM(A376,21))</f>
        <v/>
      </c>
      <c r="G376" s="21">
        <f>IF(OR(C376="",N(D376)=0),"",C376/D376)</f>
        <v/>
      </c>
      <c r="H376" s="21">
        <f>IF(A376="","",IFERROR(INDEX(Weight!$B$2:$B$1000,MATCH(IF(_xlfn.MAXIFS(Weight!$A$2:$A$1000,Weight!$A$2:$A$1000,"&lt;="&amp;A376)&gt;0,_xlfn.MAXIFS(Weight!$A$2:$A$1000,Weight!$A$2:$A$1000,"&lt;="&amp;A376),_xlfn.MINIFS(Weight!$A$2:$A$1000,Weight!$A$2:$A$1000,"&gt;0")),Weight!$A$2:$A$1000,0)),Settings!$B$6))</f>
        <v/>
      </c>
      <c r="I376" s="21">
        <f>IF(B376="","",IFERROR(INDEX(Settings!$B$10:$B$21,MATCH(B376,Settings!$A$10:$A$21,0)),4))</f>
        <v/>
      </c>
      <c r="J376" s="22">
        <f>IF(OR(A376="",C376="",I376=""),"",I376*H376*C376/60)</f>
        <v/>
      </c>
    </row>
    <row r="377">
      <c r="A377" s="35" t="n"/>
      <c r="B377" s="33" t="n"/>
      <c r="C377" s="31" t="n"/>
      <c r="D377" s="30" t="n"/>
      <c r="E377" s="33" t="n"/>
      <c r="F377" s="20">
        <f>IF(A377="","",WEEKNUM(A377,21))</f>
        <v/>
      </c>
      <c r="G377" s="21">
        <f>IF(OR(C377="",N(D377)=0),"",C377/D377)</f>
        <v/>
      </c>
      <c r="H377" s="21">
        <f>IF(A377="","",IFERROR(INDEX(Weight!$B$2:$B$1000,MATCH(IF(_xlfn.MAXIFS(Weight!$A$2:$A$1000,Weight!$A$2:$A$1000,"&lt;="&amp;A377)&gt;0,_xlfn.MAXIFS(Weight!$A$2:$A$1000,Weight!$A$2:$A$1000,"&lt;="&amp;A377),_xlfn.MINIFS(Weight!$A$2:$A$1000,Weight!$A$2:$A$1000,"&gt;0")),Weight!$A$2:$A$1000,0)),Settings!$B$6))</f>
        <v/>
      </c>
      <c r="I377" s="21">
        <f>IF(B377="","",IFERROR(INDEX(Settings!$B$10:$B$21,MATCH(B377,Settings!$A$10:$A$21,0)),4))</f>
        <v/>
      </c>
      <c r="J377" s="22">
        <f>IF(OR(A377="",C377="",I377=""),"",I377*H377*C377/60)</f>
        <v/>
      </c>
    </row>
    <row r="378">
      <c r="A378" s="35" t="n"/>
      <c r="B378" s="33" t="n"/>
      <c r="C378" s="31" t="n"/>
      <c r="D378" s="30" t="n"/>
      <c r="E378" s="33" t="n"/>
      <c r="F378" s="20">
        <f>IF(A378="","",WEEKNUM(A378,21))</f>
        <v/>
      </c>
      <c r="G378" s="21">
        <f>IF(OR(C378="",N(D378)=0),"",C378/D378)</f>
        <v/>
      </c>
      <c r="H378" s="21">
        <f>IF(A378="","",IFERROR(INDEX(Weight!$B$2:$B$1000,MATCH(IF(_xlfn.MAXIFS(Weight!$A$2:$A$1000,Weight!$A$2:$A$1000,"&lt;="&amp;A378)&gt;0,_xlfn.MAXIFS(Weight!$A$2:$A$1000,Weight!$A$2:$A$1000,"&lt;="&amp;A378),_xlfn.MINIFS(Weight!$A$2:$A$1000,Weight!$A$2:$A$1000,"&gt;0")),Weight!$A$2:$A$1000,0)),Settings!$B$6))</f>
        <v/>
      </c>
      <c r="I378" s="21">
        <f>IF(B378="","",IFERROR(INDEX(Settings!$B$10:$B$21,MATCH(B378,Settings!$A$10:$A$21,0)),4))</f>
        <v/>
      </c>
      <c r="J378" s="22">
        <f>IF(OR(A378="",C378="",I378=""),"",I378*H378*C378/60)</f>
        <v/>
      </c>
    </row>
    <row r="379">
      <c r="A379" s="35" t="n"/>
      <c r="B379" s="33" t="n"/>
      <c r="C379" s="31" t="n"/>
      <c r="D379" s="30" t="n"/>
      <c r="E379" s="33" t="n"/>
      <c r="F379" s="20">
        <f>IF(A379="","",WEEKNUM(A379,21))</f>
        <v/>
      </c>
      <c r="G379" s="21">
        <f>IF(OR(C379="",N(D379)=0),"",C379/D379)</f>
        <v/>
      </c>
      <c r="H379" s="21">
        <f>IF(A379="","",IFERROR(INDEX(Weight!$B$2:$B$1000,MATCH(IF(_xlfn.MAXIFS(Weight!$A$2:$A$1000,Weight!$A$2:$A$1000,"&lt;="&amp;A379)&gt;0,_xlfn.MAXIFS(Weight!$A$2:$A$1000,Weight!$A$2:$A$1000,"&lt;="&amp;A379),_xlfn.MINIFS(Weight!$A$2:$A$1000,Weight!$A$2:$A$1000,"&gt;0")),Weight!$A$2:$A$1000,0)),Settings!$B$6))</f>
        <v/>
      </c>
      <c r="I379" s="21">
        <f>IF(B379="","",IFERROR(INDEX(Settings!$B$10:$B$21,MATCH(B379,Settings!$A$10:$A$21,0)),4))</f>
        <v/>
      </c>
      <c r="J379" s="22">
        <f>IF(OR(A379="",C379="",I379=""),"",I379*H379*C379/60)</f>
        <v/>
      </c>
    </row>
    <row r="380">
      <c r="A380" s="35" t="n"/>
      <c r="B380" s="33" t="n"/>
      <c r="C380" s="31" t="n"/>
      <c r="D380" s="30" t="n"/>
      <c r="E380" s="33" t="n"/>
      <c r="F380" s="20">
        <f>IF(A380="","",WEEKNUM(A380,21))</f>
        <v/>
      </c>
      <c r="G380" s="21">
        <f>IF(OR(C380="",N(D380)=0),"",C380/D380)</f>
        <v/>
      </c>
      <c r="H380" s="21">
        <f>IF(A380="","",IFERROR(INDEX(Weight!$B$2:$B$1000,MATCH(IF(_xlfn.MAXIFS(Weight!$A$2:$A$1000,Weight!$A$2:$A$1000,"&lt;="&amp;A380)&gt;0,_xlfn.MAXIFS(Weight!$A$2:$A$1000,Weight!$A$2:$A$1000,"&lt;="&amp;A380),_xlfn.MINIFS(Weight!$A$2:$A$1000,Weight!$A$2:$A$1000,"&gt;0")),Weight!$A$2:$A$1000,0)),Settings!$B$6))</f>
        <v/>
      </c>
      <c r="I380" s="21">
        <f>IF(B380="","",IFERROR(INDEX(Settings!$B$10:$B$21,MATCH(B380,Settings!$A$10:$A$21,0)),4))</f>
        <v/>
      </c>
      <c r="J380" s="22">
        <f>IF(OR(A380="",C380="",I380=""),"",I380*H380*C380/60)</f>
        <v/>
      </c>
    </row>
    <row r="381">
      <c r="A381" s="35" t="n"/>
      <c r="B381" s="33" t="n"/>
      <c r="C381" s="31" t="n"/>
      <c r="D381" s="30" t="n"/>
      <c r="E381" s="33" t="n"/>
      <c r="F381" s="20">
        <f>IF(A381="","",WEEKNUM(A381,21))</f>
        <v/>
      </c>
      <c r="G381" s="21">
        <f>IF(OR(C381="",N(D381)=0),"",C381/D381)</f>
        <v/>
      </c>
      <c r="H381" s="21">
        <f>IF(A381="","",IFERROR(INDEX(Weight!$B$2:$B$1000,MATCH(IF(_xlfn.MAXIFS(Weight!$A$2:$A$1000,Weight!$A$2:$A$1000,"&lt;="&amp;A381)&gt;0,_xlfn.MAXIFS(Weight!$A$2:$A$1000,Weight!$A$2:$A$1000,"&lt;="&amp;A381),_xlfn.MINIFS(Weight!$A$2:$A$1000,Weight!$A$2:$A$1000,"&gt;0")),Weight!$A$2:$A$1000,0)),Settings!$B$6))</f>
        <v/>
      </c>
      <c r="I381" s="21">
        <f>IF(B381="","",IFERROR(INDEX(Settings!$B$10:$B$21,MATCH(B381,Settings!$A$10:$A$21,0)),4))</f>
        <v/>
      </c>
      <c r="J381" s="22">
        <f>IF(OR(A381="",C381="",I381=""),"",I381*H381*C381/60)</f>
        <v/>
      </c>
    </row>
    <row r="382">
      <c r="A382" s="35" t="n"/>
      <c r="B382" s="33" t="n"/>
      <c r="C382" s="31" t="n"/>
      <c r="D382" s="30" t="n"/>
      <c r="E382" s="33" t="n"/>
      <c r="F382" s="20">
        <f>IF(A382="","",WEEKNUM(A382,21))</f>
        <v/>
      </c>
      <c r="G382" s="21">
        <f>IF(OR(C382="",N(D382)=0),"",C382/D382)</f>
        <v/>
      </c>
      <c r="H382" s="21">
        <f>IF(A382="","",IFERROR(INDEX(Weight!$B$2:$B$1000,MATCH(IF(_xlfn.MAXIFS(Weight!$A$2:$A$1000,Weight!$A$2:$A$1000,"&lt;="&amp;A382)&gt;0,_xlfn.MAXIFS(Weight!$A$2:$A$1000,Weight!$A$2:$A$1000,"&lt;="&amp;A382),_xlfn.MINIFS(Weight!$A$2:$A$1000,Weight!$A$2:$A$1000,"&gt;0")),Weight!$A$2:$A$1000,0)),Settings!$B$6))</f>
        <v/>
      </c>
      <c r="I382" s="21">
        <f>IF(B382="","",IFERROR(INDEX(Settings!$B$10:$B$21,MATCH(B382,Settings!$A$10:$A$21,0)),4))</f>
        <v/>
      </c>
      <c r="J382" s="22">
        <f>IF(OR(A382="",C382="",I382=""),"",I382*H382*C382/60)</f>
        <v/>
      </c>
    </row>
    <row r="383">
      <c r="A383" s="35" t="n"/>
      <c r="B383" s="33" t="n"/>
      <c r="C383" s="31" t="n"/>
      <c r="D383" s="30" t="n"/>
      <c r="E383" s="33" t="n"/>
      <c r="F383" s="20">
        <f>IF(A383="","",WEEKNUM(A383,21))</f>
        <v/>
      </c>
      <c r="G383" s="21">
        <f>IF(OR(C383="",N(D383)=0),"",C383/D383)</f>
        <v/>
      </c>
      <c r="H383" s="21">
        <f>IF(A383="","",IFERROR(INDEX(Weight!$B$2:$B$1000,MATCH(IF(_xlfn.MAXIFS(Weight!$A$2:$A$1000,Weight!$A$2:$A$1000,"&lt;="&amp;A383)&gt;0,_xlfn.MAXIFS(Weight!$A$2:$A$1000,Weight!$A$2:$A$1000,"&lt;="&amp;A383),_xlfn.MINIFS(Weight!$A$2:$A$1000,Weight!$A$2:$A$1000,"&gt;0")),Weight!$A$2:$A$1000,0)),Settings!$B$6))</f>
        <v/>
      </c>
      <c r="I383" s="21">
        <f>IF(B383="","",IFERROR(INDEX(Settings!$B$10:$B$21,MATCH(B383,Settings!$A$10:$A$21,0)),4))</f>
        <v/>
      </c>
      <c r="J383" s="22">
        <f>IF(OR(A383="",C383="",I383=""),"",I383*H383*C383/60)</f>
        <v/>
      </c>
    </row>
    <row r="384">
      <c r="A384" s="35" t="n"/>
      <c r="B384" s="33" t="n"/>
      <c r="C384" s="31" t="n"/>
      <c r="D384" s="30" t="n"/>
      <c r="E384" s="33" t="n"/>
      <c r="F384" s="20">
        <f>IF(A384="","",WEEKNUM(A384,21))</f>
        <v/>
      </c>
      <c r="G384" s="21">
        <f>IF(OR(C384="",N(D384)=0),"",C384/D384)</f>
        <v/>
      </c>
      <c r="H384" s="21">
        <f>IF(A384="","",IFERROR(INDEX(Weight!$B$2:$B$1000,MATCH(IF(_xlfn.MAXIFS(Weight!$A$2:$A$1000,Weight!$A$2:$A$1000,"&lt;="&amp;A384)&gt;0,_xlfn.MAXIFS(Weight!$A$2:$A$1000,Weight!$A$2:$A$1000,"&lt;="&amp;A384),_xlfn.MINIFS(Weight!$A$2:$A$1000,Weight!$A$2:$A$1000,"&gt;0")),Weight!$A$2:$A$1000,0)),Settings!$B$6))</f>
        <v/>
      </c>
      <c r="I384" s="21">
        <f>IF(B384="","",IFERROR(INDEX(Settings!$B$10:$B$21,MATCH(B384,Settings!$A$10:$A$21,0)),4))</f>
        <v/>
      </c>
      <c r="J384" s="22">
        <f>IF(OR(A384="",C384="",I384=""),"",I384*H384*C384/60)</f>
        <v/>
      </c>
    </row>
    <row r="385">
      <c r="A385" s="35" t="n"/>
      <c r="B385" s="33" t="n"/>
      <c r="C385" s="31" t="n"/>
      <c r="D385" s="30" t="n"/>
      <c r="E385" s="33" t="n"/>
      <c r="F385" s="20">
        <f>IF(A385="","",WEEKNUM(A385,21))</f>
        <v/>
      </c>
      <c r="G385" s="21">
        <f>IF(OR(C385="",N(D385)=0),"",C385/D385)</f>
        <v/>
      </c>
      <c r="H385" s="21">
        <f>IF(A385="","",IFERROR(INDEX(Weight!$B$2:$B$1000,MATCH(IF(_xlfn.MAXIFS(Weight!$A$2:$A$1000,Weight!$A$2:$A$1000,"&lt;="&amp;A385)&gt;0,_xlfn.MAXIFS(Weight!$A$2:$A$1000,Weight!$A$2:$A$1000,"&lt;="&amp;A385),_xlfn.MINIFS(Weight!$A$2:$A$1000,Weight!$A$2:$A$1000,"&gt;0")),Weight!$A$2:$A$1000,0)),Settings!$B$6))</f>
        <v/>
      </c>
      <c r="I385" s="21">
        <f>IF(B385="","",IFERROR(INDEX(Settings!$B$10:$B$21,MATCH(B385,Settings!$A$10:$A$21,0)),4))</f>
        <v/>
      </c>
      <c r="J385" s="22">
        <f>IF(OR(A385="",C385="",I385=""),"",I385*H385*C385/60)</f>
        <v/>
      </c>
    </row>
    <row r="386">
      <c r="A386" s="35" t="n"/>
      <c r="B386" s="33" t="n"/>
      <c r="C386" s="31" t="n"/>
      <c r="D386" s="30" t="n"/>
      <c r="E386" s="33" t="n"/>
      <c r="F386" s="20">
        <f>IF(A386="","",WEEKNUM(A386,21))</f>
        <v/>
      </c>
      <c r="G386" s="21">
        <f>IF(OR(C386="",N(D386)=0),"",C386/D386)</f>
        <v/>
      </c>
      <c r="H386" s="21">
        <f>IF(A386="","",IFERROR(INDEX(Weight!$B$2:$B$1000,MATCH(IF(_xlfn.MAXIFS(Weight!$A$2:$A$1000,Weight!$A$2:$A$1000,"&lt;="&amp;A386)&gt;0,_xlfn.MAXIFS(Weight!$A$2:$A$1000,Weight!$A$2:$A$1000,"&lt;="&amp;A386),_xlfn.MINIFS(Weight!$A$2:$A$1000,Weight!$A$2:$A$1000,"&gt;0")),Weight!$A$2:$A$1000,0)),Settings!$B$6))</f>
        <v/>
      </c>
      <c r="I386" s="21">
        <f>IF(B386="","",IFERROR(INDEX(Settings!$B$10:$B$21,MATCH(B386,Settings!$A$10:$A$21,0)),4))</f>
        <v/>
      </c>
      <c r="J386" s="22">
        <f>IF(OR(A386="",C386="",I386=""),"",I386*H386*C386/60)</f>
        <v/>
      </c>
    </row>
    <row r="387">
      <c r="A387" s="35" t="n"/>
      <c r="B387" s="33" t="n"/>
      <c r="C387" s="31" t="n"/>
      <c r="D387" s="30" t="n"/>
      <c r="E387" s="33" t="n"/>
      <c r="F387" s="20">
        <f>IF(A387="","",WEEKNUM(A387,21))</f>
        <v/>
      </c>
      <c r="G387" s="21">
        <f>IF(OR(C387="",N(D387)=0),"",C387/D387)</f>
        <v/>
      </c>
      <c r="H387" s="21">
        <f>IF(A387="","",IFERROR(INDEX(Weight!$B$2:$B$1000,MATCH(IF(_xlfn.MAXIFS(Weight!$A$2:$A$1000,Weight!$A$2:$A$1000,"&lt;="&amp;A387)&gt;0,_xlfn.MAXIFS(Weight!$A$2:$A$1000,Weight!$A$2:$A$1000,"&lt;="&amp;A387),_xlfn.MINIFS(Weight!$A$2:$A$1000,Weight!$A$2:$A$1000,"&gt;0")),Weight!$A$2:$A$1000,0)),Settings!$B$6))</f>
        <v/>
      </c>
      <c r="I387" s="21">
        <f>IF(B387="","",IFERROR(INDEX(Settings!$B$10:$B$21,MATCH(B387,Settings!$A$10:$A$21,0)),4))</f>
        <v/>
      </c>
      <c r="J387" s="22">
        <f>IF(OR(A387="",C387="",I387=""),"",I387*H387*C387/60)</f>
        <v/>
      </c>
    </row>
    <row r="388">
      <c r="A388" s="35" t="n"/>
      <c r="B388" s="33" t="n"/>
      <c r="C388" s="31" t="n"/>
      <c r="D388" s="30" t="n"/>
      <c r="E388" s="33" t="n"/>
      <c r="F388" s="20">
        <f>IF(A388="","",WEEKNUM(A388,21))</f>
        <v/>
      </c>
      <c r="G388" s="21">
        <f>IF(OR(C388="",N(D388)=0),"",C388/D388)</f>
        <v/>
      </c>
      <c r="H388" s="21">
        <f>IF(A388="","",IFERROR(INDEX(Weight!$B$2:$B$1000,MATCH(IF(_xlfn.MAXIFS(Weight!$A$2:$A$1000,Weight!$A$2:$A$1000,"&lt;="&amp;A388)&gt;0,_xlfn.MAXIFS(Weight!$A$2:$A$1000,Weight!$A$2:$A$1000,"&lt;="&amp;A388),_xlfn.MINIFS(Weight!$A$2:$A$1000,Weight!$A$2:$A$1000,"&gt;0")),Weight!$A$2:$A$1000,0)),Settings!$B$6))</f>
        <v/>
      </c>
      <c r="I388" s="21">
        <f>IF(B388="","",IFERROR(INDEX(Settings!$B$10:$B$21,MATCH(B388,Settings!$A$10:$A$21,0)),4))</f>
        <v/>
      </c>
      <c r="J388" s="22">
        <f>IF(OR(A388="",C388="",I388=""),"",I388*H388*C388/60)</f>
        <v/>
      </c>
    </row>
    <row r="389">
      <c r="A389" s="35" t="n"/>
      <c r="B389" s="33" t="n"/>
      <c r="C389" s="31" t="n"/>
      <c r="D389" s="30" t="n"/>
      <c r="E389" s="33" t="n"/>
      <c r="F389" s="20">
        <f>IF(A389="","",WEEKNUM(A389,21))</f>
        <v/>
      </c>
      <c r="G389" s="21">
        <f>IF(OR(C389="",N(D389)=0),"",C389/D389)</f>
        <v/>
      </c>
      <c r="H389" s="21">
        <f>IF(A389="","",IFERROR(INDEX(Weight!$B$2:$B$1000,MATCH(IF(_xlfn.MAXIFS(Weight!$A$2:$A$1000,Weight!$A$2:$A$1000,"&lt;="&amp;A389)&gt;0,_xlfn.MAXIFS(Weight!$A$2:$A$1000,Weight!$A$2:$A$1000,"&lt;="&amp;A389),_xlfn.MINIFS(Weight!$A$2:$A$1000,Weight!$A$2:$A$1000,"&gt;0")),Weight!$A$2:$A$1000,0)),Settings!$B$6))</f>
        <v/>
      </c>
      <c r="I389" s="21">
        <f>IF(B389="","",IFERROR(INDEX(Settings!$B$10:$B$21,MATCH(B389,Settings!$A$10:$A$21,0)),4))</f>
        <v/>
      </c>
      <c r="J389" s="22">
        <f>IF(OR(A389="",C389="",I389=""),"",I389*H389*C389/60)</f>
        <v/>
      </c>
    </row>
    <row r="390">
      <c r="A390" s="35" t="n"/>
      <c r="B390" s="33" t="n"/>
      <c r="C390" s="31" t="n"/>
      <c r="D390" s="30" t="n"/>
      <c r="E390" s="33" t="n"/>
      <c r="F390" s="20">
        <f>IF(A390="","",WEEKNUM(A390,21))</f>
        <v/>
      </c>
      <c r="G390" s="21">
        <f>IF(OR(C390="",N(D390)=0),"",C390/D390)</f>
        <v/>
      </c>
      <c r="H390" s="21">
        <f>IF(A390="","",IFERROR(INDEX(Weight!$B$2:$B$1000,MATCH(IF(_xlfn.MAXIFS(Weight!$A$2:$A$1000,Weight!$A$2:$A$1000,"&lt;="&amp;A390)&gt;0,_xlfn.MAXIFS(Weight!$A$2:$A$1000,Weight!$A$2:$A$1000,"&lt;="&amp;A390),_xlfn.MINIFS(Weight!$A$2:$A$1000,Weight!$A$2:$A$1000,"&gt;0")),Weight!$A$2:$A$1000,0)),Settings!$B$6))</f>
        <v/>
      </c>
      <c r="I390" s="21">
        <f>IF(B390="","",IFERROR(INDEX(Settings!$B$10:$B$21,MATCH(B390,Settings!$A$10:$A$21,0)),4))</f>
        <v/>
      </c>
      <c r="J390" s="22">
        <f>IF(OR(A390="",C390="",I390=""),"",I390*H390*C390/60)</f>
        <v/>
      </c>
    </row>
    <row r="391">
      <c r="A391" s="35" t="n"/>
      <c r="B391" s="33" t="n"/>
      <c r="C391" s="31" t="n"/>
      <c r="D391" s="30" t="n"/>
      <c r="E391" s="33" t="n"/>
      <c r="F391" s="20">
        <f>IF(A391="","",WEEKNUM(A391,21))</f>
        <v/>
      </c>
      <c r="G391" s="21">
        <f>IF(OR(C391="",N(D391)=0),"",C391/D391)</f>
        <v/>
      </c>
      <c r="H391" s="21">
        <f>IF(A391="","",IFERROR(INDEX(Weight!$B$2:$B$1000,MATCH(IF(_xlfn.MAXIFS(Weight!$A$2:$A$1000,Weight!$A$2:$A$1000,"&lt;="&amp;A391)&gt;0,_xlfn.MAXIFS(Weight!$A$2:$A$1000,Weight!$A$2:$A$1000,"&lt;="&amp;A391),_xlfn.MINIFS(Weight!$A$2:$A$1000,Weight!$A$2:$A$1000,"&gt;0")),Weight!$A$2:$A$1000,0)),Settings!$B$6))</f>
        <v/>
      </c>
      <c r="I391" s="21">
        <f>IF(B391="","",IFERROR(INDEX(Settings!$B$10:$B$21,MATCH(B391,Settings!$A$10:$A$21,0)),4))</f>
        <v/>
      </c>
      <c r="J391" s="22">
        <f>IF(OR(A391="",C391="",I391=""),"",I391*H391*C391/60)</f>
        <v/>
      </c>
    </row>
    <row r="392">
      <c r="A392" s="35" t="n"/>
      <c r="B392" s="33" t="n"/>
      <c r="C392" s="31" t="n"/>
      <c r="D392" s="30" t="n"/>
      <c r="E392" s="33" t="n"/>
      <c r="F392" s="20">
        <f>IF(A392="","",WEEKNUM(A392,21))</f>
        <v/>
      </c>
      <c r="G392" s="21">
        <f>IF(OR(C392="",N(D392)=0),"",C392/D392)</f>
        <v/>
      </c>
      <c r="H392" s="21">
        <f>IF(A392="","",IFERROR(INDEX(Weight!$B$2:$B$1000,MATCH(IF(_xlfn.MAXIFS(Weight!$A$2:$A$1000,Weight!$A$2:$A$1000,"&lt;="&amp;A392)&gt;0,_xlfn.MAXIFS(Weight!$A$2:$A$1000,Weight!$A$2:$A$1000,"&lt;="&amp;A392),_xlfn.MINIFS(Weight!$A$2:$A$1000,Weight!$A$2:$A$1000,"&gt;0")),Weight!$A$2:$A$1000,0)),Settings!$B$6))</f>
        <v/>
      </c>
      <c r="I392" s="21">
        <f>IF(B392="","",IFERROR(INDEX(Settings!$B$10:$B$21,MATCH(B392,Settings!$A$10:$A$21,0)),4))</f>
        <v/>
      </c>
      <c r="J392" s="22">
        <f>IF(OR(A392="",C392="",I392=""),"",I392*H392*C392/60)</f>
        <v/>
      </c>
    </row>
    <row r="393">
      <c r="A393" s="35" t="n"/>
      <c r="B393" s="33" t="n"/>
      <c r="C393" s="31" t="n"/>
      <c r="D393" s="30" t="n"/>
      <c r="E393" s="33" t="n"/>
      <c r="F393" s="20">
        <f>IF(A393="","",WEEKNUM(A393,21))</f>
        <v/>
      </c>
      <c r="G393" s="21">
        <f>IF(OR(C393="",N(D393)=0),"",C393/D393)</f>
        <v/>
      </c>
      <c r="H393" s="21">
        <f>IF(A393="","",IFERROR(INDEX(Weight!$B$2:$B$1000,MATCH(IF(_xlfn.MAXIFS(Weight!$A$2:$A$1000,Weight!$A$2:$A$1000,"&lt;="&amp;A393)&gt;0,_xlfn.MAXIFS(Weight!$A$2:$A$1000,Weight!$A$2:$A$1000,"&lt;="&amp;A393),_xlfn.MINIFS(Weight!$A$2:$A$1000,Weight!$A$2:$A$1000,"&gt;0")),Weight!$A$2:$A$1000,0)),Settings!$B$6))</f>
        <v/>
      </c>
      <c r="I393" s="21">
        <f>IF(B393="","",IFERROR(INDEX(Settings!$B$10:$B$21,MATCH(B393,Settings!$A$10:$A$21,0)),4))</f>
        <v/>
      </c>
      <c r="J393" s="22">
        <f>IF(OR(A393="",C393="",I393=""),"",I393*H393*C393/60)</f>
        <v/>
      </c>
    </row>
    <row r="394">
      <c r="A394" s="35" t="n"/>
      <c r="B394" s="33" t="n"/>
      <c r="C394" s="31" t="n"/>
      <c r="D394" s="30" t="n"/>
      <c r="E394" s="33" t="n"/>
      <c r="F394" s="20">
        <f>IF(A394="","",WEEKNUM(A394,21))</f>
        <v/>
      </c>
      <c r="G394" s="21">
        <f>IF(OR(C394="",N(D394)=0),"",C394/D394)</f>
        <v/>
      </c>
      <c r="H394" s="21">
        <f>IF(A394="","",IFERROR(INDEX(Weight!$B$2:$B$1000,MATCH(IF(_xlfn.MAXIFS(Weight!$A$2:$A$1000,Weight!$A$2:$A$1000,"&lt;="&amp;A394)&gt;0,_xlfn.MAXIFS(Weight!$A$2:$A$1000,Weight!$A$2:$A$1000,"&lt;="&amp;A394),_xlfn.MINIFS(Weight!$A$2:$A$1000,Weight!$A$2:$A$1000,"&gt;0")),Weight!$A$2:$A$1000,0)),Settings!$B$6))</f>
        <v/>
      </c>
      <c r="I394" s="21">
        <f>IF(B394="","",IFERROR(INDEX(Settings!$B$10:$B$21,MATCH(B394,Settings!$A$10:$A$21,0)),4))</f>
        <v/>
      </c>
      <c r="J394" s="22">
        <f>IF(OR(A394="",C394="",I394=""),"",I394*H394*C394/60)</f>
        <v/>
      </c>
    </row>
    <row r="395">
      <c r="A395" s="35" t="n"/>
      <c r="B395" s="33" t="n"/>
      <c r="C395" s="31" t="n"/>
      <c r="D395" s="30" t="n"/>
      <c r="E395" s="33" t="n"/>
      <c r="F395" s="20">
        <f>IF(A395="","",WEEKNUM(A395,21))</f>
        <v/>
      </c>
      <c r="G395" s="21">
        <f>IF(OR(C395="",N(D395)=0),"",C395/D395)</f>
        <v/>
      </c>
      <c r="H395" s="21">
        <f>IF(A395="","",IFERROR(INDEX(Weight!$B$2:$B$1000,MATCH(IF(_xlfn.MAXIFS(Weight!$A$2:$A$1000,Weight!$A$2:$A$1000,"&lt;="&amp;A395)&gt;0,_xlfn.MAXIFS(Weight!$A$2:$A$1000,Weight!$A$2:$A$1000,"&lt;="&amp;A395),_xlfn.MINIFS(Weight!$A$2:$A$1000,Weight!$A$2:$A$1000,"&gt;0")),Weight!$A$2:$A$1000,0)),Settings!$B$6))</f>
        <v/>
      </c>
      <c r="I395" s="21">
        <f>IF(B395="","",IFERROR(INDEX(Settings!$B$10:$B$21,MATCH(B395,Settings!$A$10:$A$21,0)),4))</f>
        <v/>
      </c>
      <c r="J395" s="22">
        <f>IF(OR(A395="",C395="",I395=""),"",I395*H395*C395/60)</f>
        <v/>
      </c>
    </row>
    <row r="396">
      <c r="A396" s="35" t="n"/>
      <c r="B396" s="33" t="n"/>
      <c r="C396" s="31" t="n"/>
      <c r="D396" s="30" t="n"/>
      <c r="E396" s="33" t="n"/>
      <c r="F396" s="20">
        <f>IF(A396="","",WEEKNUM(A396,21))</f>
        <v/>
      </c>
      <c r="G396" s="21">
        <f>IF(OR(C396="",N(D396)=0),"",C396/D396)</f>
        <v/>
      </c>
      <c r="H396" s="21">
        <f>IF(A396="","",IFERROR(INDEX(Weight!$B$2:$B$1000,MATCH(IF(_xlfn.MAXIFS(Weight!$A$2:$A$1000,Weight!$A$2:$A$1000,"&lt;="&amp;A396)&gt;0,_xlfn.MAXIFS(Weight!$A$2:$A$1000,Weight!$A$2:$A$1000,"&lt;="&amp;A396),_xlfn.MINIFS(Weight!$A$2:$A$1000,Weight!$A$2:$A$1000,"&gt;0")),Weight!$A$2:$A$1000,0)),Settings!$B$6))</f>
        <v/>
      </c>
      <c r="I396" s="21">
        <f>IF(B396="","",IFERROR(INDEX(Settings!$B$10:$B$21,MATCH(B396,Settings!$A$10:$A$21,0)),4))</f>
        <v/>
      </c>
      <c r="J396" s="22">
        <f>IF(OR(A396="",C396="",I396=""),"",I396*H396*C396/60)</f>
        <v/>
      </c>
    </row>
    <row r="397">
      <c r="A397" s="35" t="n"/>
      <c r="B397" s="33" t="n"/>
      <c r="C397" s="31" t="n"/>
      <c r="D397" s="30" t="n"/>
      <c r="E397" s="33" t="n"/>
      <c r="F397" s="20">
        <f>IF(A397="","",WEEKNUM(A397,21))</f>
        <v/>
      </c>
      <c r="G397" s="21">
        <f>IF(OR(C397="",N(D397)=0),"",C397/D397)</f>
        <v/>
      </c>
      <c r="H397" s="21">
        <f>IF(A397="","",IFERROR(INDEX(Weight!$B$2:$B$1000,MATCH(IF(_xlfn.MAXIFS(Weight!$A$2:$A$1000,Weight!$A$2:$A$1000,"&lt;="&amp;A397)&gt;0,_xlfn.MAXIFS(Weight!$A$2:$A$1000,Weight!$A$2:$A$1000,"&lt;="&amp;A397),_xlfn.MINIFS(Weight!$A$2:$A$1000,Weight!$A$2:$A$1000,"&gt;0")),Weight!$A$2:$A$1000,0)),Settings!$B$6))</f>
        <v/>
      </c>
      <c r="I397" s="21">
        <f>IF(B397="","",IFERROR(INDEX(Settings!$B$10:$B$21,MATCH(B397,Settings!$A$10:$A$21,0)),4))</f>
        <v/>
      </c>
      <c r="J397" s="22">
        <f>IF(OR(A397="",C397="",I397=""),"",I397*H397*C397/60)</f>
        <v/>
      </c>
    </row>
    <row r="398">
      <c r="A398" s="35" t="n"/>
      <c r="B398" s="33" t="n"/>
      <c r="C398" s="31" t="n"/>
      <c r="D398" s="30" t="n"/>
      <c r="E398" s="33" t="n"/>
      <c r="F398" s="20">
        <f>IF(A398="","",WEEKNUM(A398,21))</f>
        <v/>
      </c>
      <c r="G398" s="21">
        <f>IF(OR(C398="",N(D398)=0),"",C398/D398)</f>
        <v/>
      </c>
      <c r="H398" s="21">
        <f>IF(A398="","",IFERROR(INDEX(Weight!$B$2:$B$1000,MATCH(IF(_xlfn.MAXIFS(Weight!$A$2:$A$1000,Weight!$A$2:$A$1000,"&lt;="&amp;A398)&gt;0,_xlfn.MAXIFS(Weight!$A$2:$A$1000,Weight!$A$2:$A$1000,"&lt;="&amp;A398),_xlfn.MINIFS(Weight!$A$2:$A$1000,Weight!$A$2:$A$1000,"&gt;0")),Weight!$A$2:$A$1000,0)),Settings!$B$6))</f>
        <v/>
      </c>
      <c r="I398" s="21">
        <f>IF(B398="","",IFERROR(INDEX(Settings!$B$10:$B$21,MATCH(B398,Settings!$A$10:$A$21,0)),4))</f>
        <v/>
      </c>
      <c r="J398" s="22">
        <f>IF(OR(A398="",C398="",I398=""),"",I398*H398*C398/60)</f>
        <v/>
      </c>
    </row>
    <row r="399">
      <c r="A399" s="35" t="n"/>
      <c r="B399" s="33" t="n"/>
      <c r="C399" s="31" t="n"/>
      <c r="D399" s="30" t="n"/>
      <c r="E399" s="33" t="n"/>
      <c r="F399" s="20">
        <f>IF(A399="","",WEEKNUM(A399,21))</f>
        <v/>
      </c>
      <c r="G399" s="21">
        <f>IF(OR(C399="",N(D399)=0),"",C399/D399)</f>
        <v/>
      </c>
      <c r="H399" s="21">
        <f>IF(A399="","",IFERROR(INDEX(Weight!$B$2:$B$1000,MATCH(IF(_xlfn.MAXIFS(Weight!$A$2:$A$1000,Weight!$A$2:$A$1000,"&lt;="&amp;A399)&gt;0,_xlfn.MAXIFS(Weight!$A$2:$A$1000,Weight!$A$2:$A$1000,"&lt;="&amp;A399),_xlfn.MINIFS(Weight!$A$2:$A$1000,Weight!$A$2:$A$1000,"&gt;0")),Weight!$A$2:$A$1000,0)),Settings!$B$6))</f>
        <v/>
      </c>
      <c r="I399" s="21">
        <f>IF(B399="","",IFERROR(INDEX(Settings!$B$10:$B$21,MATCH(B399,Settings!$A$10:$A$21,0)),4))</f>
        <v/>
      </c>
      <c r="J399" s="22">
        <f>IF(OR(A399="",C399="",I399=""),"",I399*H399*C399/60)</f>
        <v/>
      </c>
    </row>
    <row r="400">
      <c r="A400" s="35" t="n"/>
      <c r="B400" s="33" t="n"/>
      <c r="C400" s="31" t="n"/>
      <c r="D400" s="30" t="n"/>
      <c r="E400" s="33" t="n"/>
      <c r="F400" s="20">
        <f>IF(A400="","",WEEKNUM(A400,21))</f>
        <v/>
      </c>
      <c r="G400" s="21">
        <f>IF(OR(C400="",N(D400)=0),"",C400/D400)</f>
        <v/>
      </c>
      <c r="H400" s="21">
        <f>IF(A400="","",IFERROR(INDEX(Weight!$B$2:$B$1000,MATCH(IF(_xlfn.MAXIFS(Weight!$A$2:$A$1000,Weight!$A$2:$A$1000,"&lt;="&amp;A400)&gt;0,_xlfn.MAXIFS(Weight!$A$2:$A$1000,Weight!$A$2:$A$1000,"&lt;="&amp;A400),_xlfn.MINIFS(Weight!$A$2:$A$1000,Weight!$A$2:$A$1000,"&gt;0")),Weight!$A$2:$A$1000,0)),Settings!$B$6))</f>
        <v/>
      </c>
      <c r="I400" s="21">
        <f>IF(B400="","",IFERROR(INDEX(Settings!$B$10:$B$21,MATCH(B400,Settings!$A$10:$A$21,0)),4))</f>
        <v/>
      </c>
      <c r="J400" s="22">
        <f>IF(OR(A400="",C400="",I400=""),"",I400*H400*C400/60)</f>
        <v/>
      </c>
    </row>
    <row r="401">
      <c r="A401" s="35" t="n"/>
      <c r="B401" s="33" t="n"/>
      <c r="C401" s="31" t="n"/>
      <c r="D401" s="30" t="n"/>
      <c r="E401" s="33" t="n"/>
      <c r="F401" s="20">
        <f>IF(A401="","",WEEKNUM(A401,21))</f>
        <v/>
      </c>
      <c r="G401" s="21">
        <f>IF(OR(C401="",N(D401)=0),"",C401/D401)</f>
        <v/>
      </c>
      <c r="H401" s="21">
        <f>IF(A401="","",IFERROR(INDEX(Weight!$B$2:$B$1000,MATCH(IF(_xlfn.MAXIFS(Weight!$A$2:$A$1000,Weight!$A$2:$A$1000,"&lt;="&amp;A401)&gt;0,_xlfn.MAXIFS(Weight!$A$2:$A$1000,Weight!$A$2:$A$1000,"&lt;="&amp;A401),_xlfn.MINIFS(Weight!$A$2:$A$1000,Weight!$A$2:$A$1000,"&gt;0")),Weight!$A$2:$A$1000,0)),Settings!$B$6))</f>
        <v/>
      </c>
      <c r="I401" s="21">
        <f>IF(B401="","",IFERROR(INDEX(Settings!$B$10:$B$21,MATCH(B401,Settings!$A$10:$A$21,0)),4))</f>
        <v/>
      </c>
      <c r="J401" s="22">
        <f>IF(OR(A401="",C401="",I401=""),"",I401*H401*C401/60)</f>
        <v/>
      </c>
    </row>
    <row r="402">
      <c r="A402" s="35" t="n"/>
      <c r="B402" s="33" t="n"/>
      <c r="C402" s="31" t="n"/>
      <c r="D402" s="30" t="n"/>
      <c r="E402" s="33" t="n"/>
      <c r="F402" s="20">
        <f>IF(A402="","",WEEKNUM(A402,21))</f>
        <v/>
      </c>
      <c r="G402" s="21">
        <f>IF(OR(C402="",N(D402)=0),"",C402/D402)</f>
        <v/>
      </c>
      <c r="H402" s="21">
        <f>IF(A402="","",IFERROR(INDEX(Weight!$B$2:$B$1000,MATCH(IF(_xlfn.MAXIFS(Weight!$A$2:$A$1000,Weight!$A$2:$A$1000,"&lt;="&amp;A402)&gt;0,_xlfn.MAXIFS(Weight!$A$2:$A$1000,Weight!$A$2:$A$1000,"&lt;="&amp;A402),_xlfn.MINIFS(Weight!$A$2:$A$1000,Weight!$A$2:$A$1000,"&gt;0")),Weight!$A$2:$A$1000,0)),Settings!$B$6))</f>
        <v/>
      </c>
      <c r="I402" s="21">
        <f>IF(B402="","",IFERROR(INDEX(Settings!$B$10:$B$21,MATCH(B402,Settings!$A$10:$A$21,0)),4))</f>
        <v/>
      </c>
      <c r="J402" s="22">
        <f>IF(OR(A402="",C402="",I402=""),"",I402*H402*C402/60)</f>
        <v/>
      </c>
    </row>
    <row r="403">
      <c r="A403" s="35" t="n"/>
      <c r="B403" s="33" t="n"/>
      <c r="C403" s="31" t="n"/>
      <c r="D403" s="30" t="n"/>
      <c r="E403" s="33" t="n"/>
      <c r="F403" s="20">
        <f>IF(A403="","",WEEKNUM(A403,21))</f>
        <v/>
      </c>
      <c r="G403" s="21">
        <f>IF(OR(C403="",N(D403)=0),"",C403/D403)</f>
        <v/>
      </c>
      <c r="H403" s="21">
        <f>IF(A403="","",IFERROR(INDEX(Weight!$B$2:$B$1000,MATCH(IF(_xlfn.MAXIFS(Weight!$A$2:$A$1000,Weight!$A$2:$A$1000,"&lt;="&amp;A403)&gt;0,_xlfn.MAXIFS(Weight!$A$2:$A$1000,Weight!$A$2:$A$1000,"&lt;="&amp;A403),_xlfn.MINIFS(Weight!$A$2:$A$1000,Weight!$A$2:$A$1000,"&gt;0")),Weight!$A$2:$A$1000,0)),Settings!$B$6))</f>
        <v/>
      </c>
      <c r="I403" s="21">
        <f>IF(B403="","",IFERROR(INDEX(Settings!$B$10:$B$21,MATCH(B403,Settings!$A$10:$A$21,0)),4))</f>
        <v/>
      </c>
      <c r="J403" s="22">
        <f>IF(OR(A403="",C403="",I403=""),"",I403*H403*C403/60)</f>
        <v/>
      </c>
    </row>
    <row r="404">
      <c r="A404" s="35" t="n"/>
      <c r="B404" s="33" t="n"/>
      <c r="C404" s="31" t="n"/>
      <c r="D404" s="30" t="n"/>
      <c r="E404" s="33" t="n"/>
      <c r="F404" s="20">
        <f>IF(A404="","",WEEKNUM(A404,21))</f>
        <v/>
      </c>
      <c r="G404" s="21">
        <f>IF(OR(C404="",N(D404)=0),"",C404/D404)</f>
        <v/>
      </c>
      <c r="H404" s="21">
        <f>IF(A404="","",IFERROR(INDEX(Weight!$B$2:$B$1000,MATCH(IF(_xlfn.MAXIFS(Weight!$A$2:$A$1000,Weight!$A$2:$A$1000,"&lt;="&amp;A404)&gt;0,_xlfn.MAXIFS(Weight!$A$2:$A$1000,Weight!$A$2:$A$1000,"&lt;="&amp;A404),_xlfn.MINIFS(Weight!$A$2:$A$1000,Weight!$A$2:$A$1000,"&gt;0")),Weight!$A$2:$A$1000,0)),Settings!$B$6))</f>
        <v/>
      </c>
      <c r="I404" s="21">
        <f>IF(B404="","",IFERROR(INDEX(Settings!$B$10:$B$21,MATCH(B404,Settings!$A$10:$A$21,0)),4))</f>
        <v/>
      </c>
      <c r="J404" s="22">
        <f>IF(OR(A404="",C404="",I404=""),"",I404*H404*C404/60)</f>
        <v/>
      </c>
    </row>
    <row r="405">
      <c r="A405" s="35" t="n"/>
      <c r="B405" s="33" t="n"/>
      <c r="C405" s="31" t="n"/>
      <c r="D405" s="30" t="n"/>
      <c r="E405" s="33" t="n"/>
      <c r="F405" s="20">
        <f>IF(A405="","",WEEKNUM(A405,21))</f>
        <v/>
      </c>
      <c r="G405" s="21">
        <f>IF(OR(C405="",N(D405)=0),"",C405/D405)</f>
        <v/>
      </c>
      <c r="H405" s="21">
        <f>IF(A405="","",IFERROR(INDEX(Weight!$B$2:$B$1000,MATCH(IF(_xlfn.MAXIFS(Weight!$A$2:$A$1000,Weight!$A$2:$A$1000,"&lt;="&amp;A405)&gt;0,_xlfn.MAXIFS(Weight!$A$2:$A$1000,Weight!$A$2:$A$1000,"&lt;="&amp;A405),_xlfn.MINIFS(Weight!$A$2:$A$1000,Weight!$A$2:$A$1000,"&gt;0")),Weight!$A$2:$A$1000,0)),Settings!$B$6))</f>
        <v/>
      </c>
      <c r="I405" s="21">
        <f>IF(B405="","",IFERROR(INDEX(Settings!$B$10:$B$21,MATCH(B405,Settings!$A$10:$A$21,0)),4))</f>
        <v/>
      </c>
      <c r="J405" s="22">
        <f>IF(OR(A405="",C405="",I405=""),"",I405*H405*C405/60)</f>
        <v/>
      </c>
    </row>
    <row r="406">
      <c r="A406" s="35" t="n"/>
      <c r="B406" s="33" t="n"/>
      <c r="C406" s="31" t="n"/>
      <c r="D406" s="30" t="n"/>
      <c r="E406" s="33" t="n"/>
      <c r="F406" s="20">
        <f>IF(A406="","",WEEKNUM(A406,21))</f>
        <v/>
      </c>
      <c r="G406" s="21">
        <f>IF(OR(C406="",N(D406)=0),"",C406/D406)</f>
        <v/>
      </c>
      <c r="H406" s="21">
        <f>IF(A406="","",IFERROR(INDEX(Weight!$B$2:$B$1000,MATCH(IF(_xlfn.MAXIFS(Weight!$A$2:$A$1000,Weight!$A$2:$A$1000,"&lt;="&amp;A406)&gt;0,_xlfn.MAXIFS(Weight!$A$2:$A$1000,Weight!$A$2:$A$1000,"&lt;="&amp;A406),_xlfn.MINIFS(Weight!$A$2:$A$1000,Weight!$A$2:$A$1000,"&gt;0")),Weight!$A$2:$A$1000,0)),Settings!$B$6))</f>
        <v/>
      </c>
      <c r="I406" s="21">
        <f>IF(B406="","",IFERROR(INDEX(Settings!$B$10:$B$21,MATCH(B406,Settings!$A$10:$A$21,0)),4))</f>
        <v/>
      </c>
      <c r="J406" s="22">
        <f>IF(OR(A406="",C406="",I406=""),"",I406*H406*C406/60)</f>
        <v/>
      </c>
    </row>
    <row r="407">
      <c r="A407" s="35" t="n"/>
      <c r="B407" s="33" t="n"/>
      <c r="C407" s="31" t="n"/>
      <c r="D407" s="30" t="n"/>
      <c r="E407" s="33" t="n"/>
      <c r="F407" s="20">
        <f>IF(A407="","",WEEKNUM(A407,21))</f>
        <v/>
      </c>
      <c r="G407" s="21">
        <f>IF(OR(C407="",N(D407)=0),"",C407/D407)</f>
        <v/>
      </c>
      <c r="H407" s="21">
        <f>IF(A407="","",IFERROR(INDEX(Weight!$B$2:$B$1000,MATCH(IF(_xlfn.MAXIFS(Weight!$A$2:$A$1000,Weight!$A$2:$A$1000,"&lt;="&amp;A407)&gt;0,_xlfn.MAXIFS(Weight!$A$2:$A$1000,Weight!$A$2:$A$1000,"&lt;="&amp;A407),_xlfn.MINIFS(Weight!$A$2:$A$1000,Weight!$A$2:$A$1000,"&gt;0")),Weight!$A$2:$A$1000,0)),Settings!$B$6))</f>
        <v/>
      </c>
      <c r="I407" s="21">
        <f>IF(B407="","",IFERROR(INDEX(Settings!$B$10:$B$21,MATCH(B407,Settings!$A$10:$A$21,0)),4))</f>
        <v/>
      </c>
      <c r="J407" s="22">
        <f>IF(OR(A407="",C407="",I407=""),"",I407*H407*C407/60)</f>
        <v/>
      </c>
    </row>
    <row r="408">
      <c r="A408" s="35" t="n"/>
      <c r="B408" s="33" t="n"/>
      <c r="C408" s="31" t="n"/>
      <c r="D408" s="30" t="n"/>
      <c r="E408" s="33" t="n"/>
      <c r="F408" s="20">
        <f>IF(A408="","",WEEKNUM(A408,21))</f>
        <v/>
      </c>
      <c r="G408" s="21">
        <f>IF(OR(C408="",N(D408)=0),"",C408/D408)</f>
        <v/>
      </c>
      <c r="H408" s="21">
        <f>IF(A408="","",IFERROR(INDEX(Weight!$B$2:$B$1000,MATCH(IF(_xlfn.MAXIFS(Weight!$A$2:$A$1000,Weight!$A$2:$A$1000,"&lt;="&amp;A408)&gt;0,_xlfn.MAXIFS(Weight!$A$2:$A$1000,Weight!$A$2:$A$1000,"&lt;="&amp;A408),_xlfn.MINIFS(Weight!$A$2:$A$1000,Weight!$A$2:$A$1000,"&gt;0")),Weight!$A$2:$A$1000,0)),Settings!$B$6))</f>
        <v/>
      </c>
      <c r="I408" s="21">
        <f>IF(B408="","",IFERROR(INDEX(Settings!$B$10:$B$21,MATCH(B408,Settings!$A$10:$A$21,0)),4))</f>
        <v/>
      </c>
      <c r="J408" s="22">
        <f>IF(OR(A408="",C408="",I408=""),"",I408*H408*C408/60)</f>
        <v/>
      </c>
    </row>
    <row r="409">
      <c r="A409" s="35" t="n"/>
      <c r="B409" s="33" t="n"/>
      <c r="C409" s="31" t="n"/>
      <c r="D409" s="30" t="n"/>
      <c r="E409" s="33" t="n"/>
      <c r="F409" s="20">
        <f>IF(A409="","",WEEKNUM(A409,21))</f>
        <v/>
      </c>
      <c r="G409" s="21">
        <f>IF(OR(C409="",N(D409)=0),"",C409/D409)</f>
        <v/>
      </c>
      <c r="H409" s="21">
        <f>IF(A409="","",IFERROR(INDEX(Weight!$B$2:$B$1000,MATCH(IF(_xlfn.MAXIFS(Weight!$A$2:$A$1000,Weight!$A$2:$A$1000,"&lt;="&amp;A409)&gt;0,_xlfn.MAXIFS(Weight!$A$2:$A$1000,Weight!$A$2:$A$1000,"&lt;="&amp;A409),_xlfn.MINIFS(Weight!$A$2:$A$1000,Weight!$A$2:$A$1000,"&gt;0")),Weight!$A$2:$A$1000,0)),Settings!$B$6))</f>
        <v/>
      </c>
      <c r="I409" s="21">
        <f>IF(B409="","",IFERROR(INDEX(Settings!$B$10:$B$21,MATCH(B409,Settings!$A$10:$A$21,0)),4))</f>
        <v/>
      </c>
      <c r="J409" s="22">
        <f>IF(OR(A409="",C409="",I409=""),"",I409*H409*C409/60)</f>
        <v/>
      </c>
    </row>
    <row r="410">
      <c r="A410" s="35" t="n"/>
      <c r="B410" s="33" t="n"/>
      <c r="C410" s="31" t="n"/>
      <c r="D410" s="30" t="n"/>
      <c r="E410" s="33" t="n"/>
      <c r="F410" s="20">
        <f>IF(A410="","",WEEKNUM(A410,21))</f>
        <v/>
      </c>
      <c r="G410" s="21">
        <f>IF(OR(C410="",N(D410)=0),"",C410/D410)</f>
        <v/>
      </c>
      <c r="H410" s="21">
        <f>IF(A410="","",IFERROR(INDEX(Weight!$B$2:$B$1000,MATCH(IF(_xlfn.MAXIFS(Weight!$A$2:$A$1000,Weight!$A$2:$A$1000,"&lt;="&amp;A410)&gt;0,_xlfn.MAXIFS(Weight!$A$2:$A$1000,Weight!$A$2:$A$1000,"&lt;="&amp;A410),_xlfn.MINIFS(Weight!$A$2:$A$1000,Weight!$A$2:$A$1000,"&gt;0")),Weight!$A$2:$A$1000,0)),Settings!$B$6))</f>
        <v/>
      </c>
      <c r="I410" s="21">
        <f>IF(B410="","",IFERROR(INDEX(Settings!$B$10:$B$21,MATCH(B410,Settings!$A$10:$A$21,0)),4))</f>
        <v/>
      </c>
      <c r="J410" s="22">
        <f>IF(OR(A410="",C410="",I410=""),"",I410*H410*C410/60)</f>
        <v/>
      </c>
    </row>
    <row r="411">
      <c r="A411" s="35" t="n"/>
      <c r="B411" s="33" t="n"/>
      <c r="C411" s="31" t="n"/>
      <c r="D411" s="30" t="n"/>
      <c r="E411" s="33" t="n"/>
      <c r="F411" s="20">
        <f>IF(A411="","",WEEKNUM(A411,21))</f>
        <v/>
      </c>
      <c r="G411" s="21">
        <f>IF(OR(C411="",N(D411)=0),"",C411/D411)</f>
        <v/>
      </c>
      <c r="H411" s="21">
        <f>IF(A411="","",IFERROR(INDEX(Weight!$B$2:$B$1000,MATCH(IF(_xlfn.MAXIFS(Weight!$A$2:$A$1000,Weight!$A$2:$A$1000,"&lt;="&amp;A411)&gt;0,_xlfn.MAXIFS(Weight!$A$2:$A$1000,Weight!$A$2:$A$1000,"&lt;="&amp;A411),_xlfn.MINIFS(Weight!$A$2:$A$1000,Weight!$A$2:$A$1000,"&gt;0")),Weight!$A$2:$A$1000,0)),Settings!$B$6))</f>
        <v/>
      </c>
      <c r="I411" s="21">
        <f>IF(B411="","",IFERROR(INDEX(Settings!$B$10:$B$21,MATCH(B411,Settings!$A$10:$A$21,0)),4))</f>
        <v/>
      </c>
      <c r="J411" s="22">
        <f>IF(OR(A411="",C411="",I411=""),"",I411*H411*C411/60)</f>
        <v/>
      </c>
    </row>
    <row r="412">
      <c r="A412" s="35" t="n"/>
      <c r="B412" s="33" t="n"/>
      <c r="C412" s="31" t="n"/>
      <c r="D412" s="30" t="n"/>
      <c r="E412" s="33" t="n"/>
      <c r="F412" s="20">
        <f>IF(A412="","",WEEKNUM(A412,21))</f>
        <v/>
      </c>
      <c r="G412" s="21">
        <f>IF(OR(C412="",N(D412)=0),"",C412/D412)</f>
        <v/>
      </c>
      <c r="H412" s="21">
        <f>IF(A412="","",IFERROR(INDEX(Weight!$B$2:$B$1000,MATCH(IF(_xlfn.MAXIFS(Weight!$A$2:$A$1000,Weight!$A$2:$A$1000,"&lt;="&amp;A412)&gt;0,_xlfn.MAXIFS(Weight!$A$2:$A$1000,Weight!$A$2:$A$1000,"&lt;="&amp;A412),_xlfn.MINIFS(Weight!$A$2:$A$1000,Weight!$A$2:$A$1000,"&gt;0")),Weight!$A$2:$A$1000,0)),Settings!$B$6))</f>
        <v/>
      </c>
      <c r="I412" s="21">
        <f>IF(B412="","",IFERROR(INDEX(Settings!$B$10:$B$21,MATCH(B412,Settings!$A$10:$A$21,0)),4))</f>
        <v/>
      </c>
      <c r="J412" s="22">
        <f>IF(OR(A412="",C412="",I412=""),"",I412*H412*C412/60)</f>
        <v/>
      </c>
    </row>
    <row r="413">
      <c r="A413" s="35" t="n"/>
      <c r="B413" s="33" t="n"/>
      <c r="C413" s="31" t="n"/>
      <c r="D413" s="30" t="n"/>
      <c r="E413" s="33" t="n"/>
      <c r="F413" s="20">
        <f>IF(A413="","",WEEKNUM(A413,21))</f>
        <v/>
      </c>
      <c r="G413" s="21">
        <f>IF(OR(C413="",N(D413)=0),"",C413/D413)</f>
        <v/>
      </c>
      <c r="H413" s="21">
        <f>IF(A413="","",IFERROR(INDEX(Weight!$B$2:$B$1000,MATCH(IF(_xlfn.MAXIFS(Weight!$A$2:$A$1000,Weight!$A$2:$A$1000,"&lt;="&amp;A413)&gt;0,_xlfn.MAXIFS(Weight!$A$2:$A$1000,Weight!$A$2:$A$1000,"&lt;="&amp;A413),_xlfn.MINIFS(Weight!$A$2:$A$1000,Weight!$A$2:$A$1000,"&gt;0")),Weight!$A$2:$A$1000,0)),Settings!$B$6))</f>
        <v/>
      </c>
      <c r="I413" s="21">
        <f>IF(B413="","",IFERROR(INDEX(Settings!$B$10:$B$21,MATCH(B413,Settings!$A$10:$A$21,0)),4))</f>
        <v/>
      </c>
      <c r="J413" s="22">
        <f>IF(OR(A413="",C413="",I413=""),"",I413*H413*C413/60)</f>
        <v/>
      </c>
    </row>
    <row r="414">
      <c r="A414" s="35" t="n"/>
      <c r="B414" s="33" t="n"/>
      <c r="C414" s="31" t="n"/>
      <c r="D414" s="30" t="n"/>
      <c r="E414" s="33" t="n"/>
      <c r="F414" s="20">
        <f>IF(A414="","",WEEKNUM(A414,21))</f>
        <v/>
      </c>
      <c r="G414" s="21">
        <f>IF(OR(C414="",N(D414)=0),"",C414/D414)</f>
        <v/>
      </c>
      <c r="H414" s="21">
        <f>IF(A414="","",IFERROR(INDEX(Weight!$B$2:$B$1000,MATCH(IF(_xlfn.MAXIFS(Weight!$A$2:$A$1000,Weight!$A$2:$A$1000,"&lt;="&amp;A414)&gt;0,_xlfn.MAXIFS(Weight!$A$2:$A$1000,Weight!$A$2:$A$1000,"&lt;="&amp;A414),_xlfn.MINIFS(Weight!$A$2:$A$1000,Weight!$A$2:$A$1000,"&gt;0")),Weight!$A$2:$A$1000,0)),Settings!$B$6))</f>
        <v/>
      </c>
      <c r="I414" s="21">
        <f>IF(B414="","",IFERROR(INDEX(Settings!$B$10:$B$21,MATCH(B414,Settings!$A$10:$A$21,0)),4))</f>
        <v/>
      </c>
      <c r="J414" s="22">
        <f>IF(OR(A414="",C414="",I414=""),"",I414*H414*C414/60)</f>
        <v/>
      </c>
    </row>
    <row r="415">
      <c r="A415" s="35" t="n"/>
      <c r="B415" s="33" t="n"/>
      <c r="C415" s="31" t="n"/>
      <c r="D415" s="30" t="n"/>
      <c r="E415" s="33" t="n"/>
      <c r="F415" s="20">
        <f>IF(A415="","",WEEKNUM(A415,21))</f>
        <v/>
      </c>
      <c r="G415" s="21">
        <f>IF(OR(C415="",N(D415)=0),"",C415/D415)</f>
        <v/>
      </c>
      <c r="H415" s="21">
        <f>IF(A415="","",IFERROR(INDEX(Weight!$B$2:$B$1000,MATCH(IF(_xlfn.MAXIFS(Weight!$A$2:$A$1000,Weight!$A$2:$A$1000,"&lt;="&amp;A415)&gt;0,_xlfn.MAXIFS(Weight!$A$2:$A$1000,Weight!$A$2:$A$1000,"&lt;="&amp;A415),_xlfn.MINIFS(Weight!$A$2:$A$1000,Weight!$A$2:$A$1000,"&gt;0")),Weight!$A$2:$A$1000,0)),Settings!$B$6))</f>
        <v/>
      </c>
      <c r="I415" s="21">
        <f>IF(B415="","",IFERROR(INDEX(Settings!$B$10:$B$21,MATCH(B415,Settings!$A$10:$A$21,0)),4))</f>
        <v/>
      </c>
      <c r="J415" s="22">
        <f>IF(OR(A415="",C415="",I415=""),"",I415*H415*C415/60)</f>
        <v/>
      </c>
    </row>
    <row r="416">
      <c r="A416" s="35" t="n"/>
      <c r="B416" s="33" t="n"/>
      <c r="C416" s="31" t="n"/>
      <c r="D416" s="30" t="n"/>
      <c r="E416" s="33" t="n"/>
      <c r="F416" s="20">
        <f>IF(A416="","",WEEKNUM(A416,21))</f>
        <v/>
      </c>
      <c r="G416" s="21">
        <f>IF(OR(C416="",N(D416)=0),"",C416/D416)</f>
        <v/>
      </c>
      <c r="H416" s="21">
        <f>IF(A416="","",IFERROR(INDEX(Weight!$B$2:$B$1000,MATCH(IF(_xlfn.MAXIFS(Weight!$A$2:$A$1000,Weight!$A$2:$A$1000,"&lt;="&amp;A416)&gt;0,_xlfn.MAXIFS(Weight!$A$2:$A$1000,Weight!$A$2:$A$1000,"&lt;="&amp;A416),_xlfn.MINIFS(Weight!$A$2:$A$1000,Weight!$A$2:$A$1000,"&gt;0")),Weight!$A$2:$A$1000,0)),Settings!$B$6))</f>
        <v/>
      </c>
      <c r="I416" s="21">
        <f>IF(B416="","",IFERROR(INDEX(Settings!$B$10:$B$21,MATCH(B416,Settings!$A$10:$A$21,0)),4))</f>
        <v/>
      </c>
      <c r="J416" s="22">
        <f>IF(OR(A416="",C416="",I416=""),"",I416*H416*C416/60)</f>
        <v/>
      </c>
    </row>
    <row r="417">
      <c r="A417" s="35" t="n"/>
      <c r="B417" s="33" t="n"/>
      <c r="C417" s="31" t="n"/>
      <c r="D417" s="30" t="n"/>
      <c r="E417" s="33" t="n"/>
      <c r="F417" s="20">
        <f>IF(A417="","",WEEKNUM(A417,21))</f>
        <v/>
      </c>
      <c r="G417" s="21">
        <f>IF(OR(C417="",N(D417)=0),"",C417/D417)</f>
        <v/>
      </c>
      <c r="H417" s="21">
        <f>IF(A417="","",IFERROR(INDEX(Weight!$B$2:$B$1000,MATCH(IF(_xlfn.MAXIFS(Weight!$A$2:$A$1000,Weight!$A$2:$A$1000,"&lt;="&amp;A417)&gt;0,_xlfn.MAXIFS(Weight!$A$2:$A$1000,Weight!$A$2:$A$1000,"&lt;="&amp;A417),_xlfn.MINIFS(Weight!$A$2:$A$1000,Weight!$A$2:$A$1000,"&gt;0")),Weight!$A$2:$A$1000,0)),Settings!$B$6))</f>
        <v/>
      </c>
      <c r="I417" s="21">
        <f>IF(B417="","",IFERROR(INDEX(Settings!$B$10:$B$21,MATCH(B417,Settings!$A$10:$A$21,0)),4))</f>
        <v/>
      </c>
      <c r="J417" s="22">
        <f>IF(OR(A417="",C417="",I417=""),"",I417*H417*C417/60)</f>
        <v/>
      </c>
    </row>
    <row r="418">
      <c r="A418" s="35" t="n"/>
      <c r="B418" s="33" t="n"/>
      <c r="C418" s="31" t="n"/>
      <c r="D418" s="30" t="n"/>
      <c r="E418" s="33" t="n"/>
      <c r="F418" s="20">
        <f>IF(A418="","",WEEKNUM(A418,21))</f>
        <v/>
      </c>
      <c r="G418" s="21">
        <f>IF(OR(C418="",N(D418)=0),"",C418/D418)</f>
        <v/>
      </c>
      <c r="H418" s="21">
        <f>IF(A418="","",IFERROR(INDEX(Weight!$B$2:$B$1000,MATCH(IF(_xlfn.MAXIFS(Weight!$A$2:$A$1000,Weight!$A$2:$A$1000,"&lt;="&amp;A418)&gt;0,_xlfn.MAXIFS(Weight!$A$2:$A$1000,Weight!$A$2:$A$1000,"&lt;="&amp;A418),_xlfn.MINIFS(Weight!$A$2:$A$1000,Weight!$A$2:$A$1000,"&gt;0")),Weight!$A$2:$A$1000,0)),Settings!$B$6))</f>
        <v/>
      </c>
      <c r="I418" s="21">
        <f>IF(B418="","",IFERROR(INDEX(Settings!$B$10:$B$21,MATCH(B418,Settings!$A$10:$A$21,0)),4))</f>
        <v/>
      </c>
      <c r="J418" s="22">
        <f>IF(OR(A418="",C418="",I418=""),"",I418*H418*C418/60)</f>
        <v/>
      </c>
    </row>
    <row r="419">
      <c r="A419" s="35" t="n"/>
      <c r="B419" s="33" t="n"/>
      <c r="C419" s="31" t="n"/>
      <c r="D419" s="30" t="n"/>
      <c r="E419" s="33" t="n"/>
      <c r="F419" s="20">
        <f>IF(A419="","",WEEKNUM(A419,21))</f>
        <v/>
      </c>
      <c r="G419" s="21">
        <f>IF(OR(C419="",N(D419)=0),"",C419/D419)</f>
        <v/>
      </c>
      <c r="H419" s="21">
        <f>IF(A419="","",IFERROR(INDEX(Weight!$B$2:$B$1000,MATCH(IF(_xlfn.MAXIFS(Weight!$A$2:$A$1000,Weight!$A$2:$A$1000,"&lt;="&amp;A419)&gt;0,_xlfn.MAXIFS(Weight!$A$2:$A$1000,Weight!$A$2:$A$1000,"&lt;="&amp;A419),_xlfn.MINIFS(Weight!$A$2:$A$1000,Weight!$A$2:$A$1000,"&gt;0")),Weight!$A$2:$A$1000,0)),Settings!$B$6))</f>
        <v/>
      </c>
      <c r="I419" s="21">
        <f>IF(B419="","",IFERROR(INDEX(Settings!$B$10:$B$21,MATCH(B419,Settings!$A$10:$A$21,0)),4))</f>
        <v/>
      </c>
      <c r="J419" s="22">
        <f>IF(OR(A419="",C419="",I419=""),"",I419*H419*C419/60)</f>
        <v/>
      </c>
    </row>
    <row r="420">
      <c r="A420" s="35" t="n"/>
      <c r="B420" s="33" t="n"/>
      <c r="C420" s="31" t="n"/>
      <c r="D420" s="30" t="n"/>
      <c r="E420" s="33" t="n"/>
      <c r="F420" s="20">
        <f>IF(A420="","",WEEKNUM(A420,21))</f>
        <v/>
      </c>
      <c r="G420" s="21">
        <f>IF(OR(C420="",N(D420)=0),"",C420/D420)</f>
        <v/>
      </c>
      <c r="H420" s="21">
        <f>IF(A420="","",IFERROR(INDEX(Weight!$B$2:$B$1000,MATCH(IF(_xlfn.MAXIFS(Weight!$A$2:$A$1000,Weight!$A$2:$A$1000,"&lt;="&amp;A420)&gt;0,_xlfn.MAXIFS(Weight!$A$2:$A$1000,Weight!$A$2:$A$1000,"&lt;="&amp;A420),_xlfn.MINIFS(Weight!$A$2:$A$1000,Weight!$A$2:$A$1000,"&gt;0")),Weight!$A$2:$A$1000,0)),Settings!$B$6))</f>
        <v/>
      </c>
      <c r="I420" s="21">
        <f>IF(B420="","",IFERROR(INDEX(Settings!$B$10:$B$21,MATCH(B420,Settings!$A$10:$A$21,0)),4))</f>
        <v/>
      </c>
      <c r="J420" s="22">
        <f>IF(OR(A420="",C420="",I420=""),"",I420*H420*C420/60)</f>
        <v/>
      </c>
    </row>
    <row r="421">
      <c r="A421" s="35" t="n"/>
      <c r="B421" s="33" t="n"/>
      <c r="C421" s="31" t="n"/>
      <c r="D421" s="30" t="n"/>
      <c r="E421" s="33" t="n"/>
      <c r="F421" s="20">
        <f>IF(A421="","",WEEKNUM(A421,21))</f>
        <v/>
      </c>
      <c r="G421" s="21">
        <f>IF(OR(C421="",N(D421)=0),"",C421/D421)</f>
        <v/>
      </c>
      <c r="H421" s="21">
        <f>IF(A421="","",IFERROR(INDEX(Weight!$B$2:$B$1000,MATCH(IF(_xlfn.MAXIFS(Weight!$A$2:$A$1000,Weight!$A$2:$A$1000,"&lt;="&amp;A421)&gt;0,_xlfn.MAXIFS(Weight!$A$2:$A$1000,Weight!$A$2:$A$1000,"&lt;="&amp;A421),_xlfn.MINIFS(Weight!$A$2:$A$1000,Weight!$A$2:$A$1000,"&gt;0")),Weight!$A$2:$A$1000,0)),Settings!$B$6))</f>
        <v/>
      </c>
      <c r="I421" s="21">
        <f>IF(B421="","",IFERROR(INDEX(Settings!$B$10:$B$21,MATCH(B421,Settings!$A$10:$A$21,0)),4))</f>
        <v/>
      </c>
      <c r="J421" s="22">
        <f>IF(OR(A421="",C421="",I421=""),"",I421*H421*C421/60)</f>
        <v/>
      </c>
    </row>
    <row r="422">
      <c r="A422" s="35" t="n"/>
      <c r="B422" s="33" t="n"/>
      <c r="C422" s="31" t="n"/>
      <c r="D422" s="30" t="n"/>
      <c r="E422" s="33" t="n"/>
      <c r="F422" s="20">
        <f>IF(A422="","",WEEKNUM(A422,21))</f>
        <v/>
      </c>
      <c r="G422" s="21">
        <f>IF(OR(C422="",N(D422)=0),"",C422/D422)</f>
        <v/>
      </c>
      <c r="H422" s="21">
        <f>IF(A422="","",IFERROR(INDEX(Weight!$B$2:$B$1000,MATCH(IF(_xlfn.MAXIFS(Weight!$A$2:$A$1000,Weight!$A$2:$A$1000,"&lt;="&amp;A422)&gt;0,_xlfn.MAXIFS(Weight!$A$2:$A$1000,Weight!$A$2:$A$1000,"&lt;="&amp;A422),_xlfn.MINIFS(Weight!$A$2:$A$1000,Weight!$A$2:$A$1000,"&gt;0")),Weight!$A$2:$A$1000,0)),Settings!$B$6))</f>
        <v/>
      </c>
      <c r="I422" s="21">
        <f>IF(B422="","",IFERROR(INDEX(Settings!$B$10:$B$21,MATCH(B422,Settings!$A$10:$A$21,0)),4))</f>
        <v/>
      </c>
      <c r="J422" s="22">
        <f>IF(OR(A422="",C422="",I422=""),"",I422*H422*C422/60)</f>
        <v/>
      </c>
    </row>
    <row r="423">
      <c r="A423" s="35" t="n"/>
      <c r="B423" s="33" t="n"/>
      <c r="C423" s="31" t="n"/>
      <c r="D423" s="30" t="n"/>
      <c r="E423" s="33" t="n"/>
      <c r="F423" s="20">
        <f>IF(A423="","",WEEKNUM(A423,21))</f>
        <v/>
      </c>
      <c r="G423" s="21">
        <f>IF(OR(C423="",N(D423)=0),"",C423/D423)</f>
        <v/>
      </c>
      <c r="H423" s="21">
        <f>IF(A423="","",IFERROR(INDEX(Weight!$B$2:$B$1000,MATCH(IF(_xlfn.MAXIFS(Weight!$A$2:$A$1000,Weight!$A$2:$A$1000,"&lt;="&amp;A423)&gt;0,_xlfn.MAXIFS(Weight!$A$2:$A$1000,Weight!$A$2:$A$1000,"&lt;="&amp;A423),_xlfn.MINIFS(Weight!$A$2:$A$1000,Weight!$A$2:$A$1000,"&gt;0")),Weight!$A$2:$A$1000,0)),Settings!$B$6))</f>
        <v/>
      </c>
      <c r="I423" s="21">
        <f>IF(B423="","",IFERROR(INDEX(Settings!$B$10:$B$21,MATCH(B423,Settings!$A$10:$A$21,0)),4))</f>
        <v/>
      </c>
      <c r="J423" s="22">
        <f>IF(OR(A423="",C423="",I423=""),"",I423*H423*C423/60)</f>
        <v/>
      </c>
    </row>
    <row r="424">
      <c r="A424" s="35" t="n"/>
      <c r="B424" s="33" t="n"/>
      <c r="C424" s="31" t="n"/>
      <c r="D424" s="30" t="n"/>
      <c r="E424" s="33" t="n"/>
      <c r="F424" s="20">
        <f>IF(A424="","",WEEKNUM(A424,21))</f>
        <v/>
      </c>
      <c r="G424" s="21">
        <f>IF(OR(C424="",N(D424)=0),"",C424/D424)</f>
        <v/>
      </c>
      <c r="H424" s="21">
        <f>IF(A424="","",IFERROR(INDEX(Weight!$B$2:$B$1000,MATCH(IF(_xlfn.MAXIFS(Weight!$A$2:$A$1000,Weight!$A$2:$A$1000,"&lt;="&amp;A424)&gt;0,_xlfn.MAXIFS(Weight!$A$2:$A$1000,Weight!$A$2:$A$1000,"&lt;="&amp;A424),_xlfn.MINIFS(Weight!$A$2:$A$1000,Weight!$A$2:$A$1000,"&gt;0")),Weight!$A$2:$A$1000,0)),Settings!$B$6))</f>
        <v/>
      </c>
      <c r="I424" s="21">
        <f>IF(B424="","",IFERROR(INDEX(Settings!$B$10:$B$21,MATCH(B424,Settings!$A$10:$A$21,0)),4))</f>
        <v/>
      </c>
      <c r="J424" s="22">
        <f>IF(OR(A424="",C424="",I424=""),"",I424*H424*C424/60)</f>
        <v/>
      </c>
    </row>
    <row r="425">
      <c r="A425" s="35" t="n"/>
      <c r="B425" s="33" t="n"/>
      <c r="C425" s="31" t="n"/>
      <c r="D425" s="30" t="n"/>
      <c r="E425" s="33" t="n"/>
      <c r="F425" s="20">
        <f>IF(A425="","",WEEKNUM(A425,21))</f>
        <v/>
      </c>
      <c r="G425" s="21">
        <f>IF(OR(C425="",N(D425)=0),"",C425/D425)</f>
        <v/>
      </c>
      <c r="H425" s="21">
        <f>IF(A425="","",IFERROR(INDEX(Weight!$B$2:$B$1000,MATCH(IF(_xlfn.MAXIFS(Weight!$A$2:$A$1000,Weight!$A$2:$A$1000,"&lt;="&amp;A425)&gt;0,_xlfn.MAXIFS(Weight!$A$2:$A$1000,Weight!$A$2:$A$1000,"&lt;="&amp;A425),_xlfn.MINIFS(Weight!$A$2:$A$1000,Weight!$A$2:$A$1000,"&gt;0")),Weight!$A$2:$A$1000,0)),Settings!$B$6))</f>
        <v/>
      </c>
      <c r="I425" s="21">
        <f>IF(B425="","",IFERROR(INDEX(Settings!$B$10:$B$21,MATCH(B425,Settings!$A$10:$A$21,0)),4))</f>
        <v/>
      </c>
      <c r="J425" s="22">
        <f>IF(OR(A425="",C425="",I425=""),"",I425*H425*C425/60)</f>
        <v/>
      </c>
    </row>
    <row r="426">
      <c r="A426" s="35" t="n"/>
      <c r="B426" s="33" t="n"/>
      <c r="C426" s="31" t="n"/>
      <c r="D426" s="30" t="n"/>
      <c r="E426" s="33" t="n"/>
      <c r="F426" s="20">
        <f>IF(A426="","",WEEKNUM(A426,21))</f>
        <v/>
      </c>
      <c r="G426" s="21">
        <f>IF(OR(C426="",N(D426)=0),"",C426/D426)</f>
        <v/>
      </c>
      <c r="H426" s="21">
        <f>IF(A426="","",IFERROR(INDEX(Weight!$B$2:$B$1000,MATCH(IF(_xlfn.MAXIFS(Weight!$A$2:$A$1000,Weight!$A$2:$A$1000,"&lt;="&amp;A426)&gt;0,_xlfn.MAXIFS(Weight!$A$2:$A$1000,Weight!$A$2:$A$1000,"&lt;="&amp;A426),_xlfn.MINIFS(Weight!$A$2:$A$1000,Weight!$A$2:$A$1000,"&gt;0")),Weight!$A$2:$A$1000,0)),Settings!$B$6))</f>
        <v/>
      </c>
      <c r="I426" s="21">
        <f>IF(B426="","",IFERROR(INDEX(Settings!$B$10:$B$21,MATCH(B426,Settings!$A$10:$A$21,0)),4))</f>
        <v/>
      </c>
      <c r="J426" s="22">
        <f>IF(OR(A426="",C426="",I426=""),"",I426*H426*C426/60)</f>
        <v/>
      </c>
    </row>
    <row r="427">
      <c r="A427" s="35" t="n"/>
      <c r="B427" s="33" t="n"/>
      <c r="C427" s="31" t="n"/>
      <c r="D427" s="30" t="n"/>
      <c r="E427" s="33" t="n"/>
      <c r="F427" s="20">
        <f>IF(A427="","",WEEKNUM(A427,21))</f>
        <v/>
      </c>
      <c r="G427" s="21">
        <f>IF(OR(C427="",N(D427)=0),"",C427/D427)</f>
        <v/>
      </c>
      <c r="H427" s="21">
        <f>IF(A427="","",IFERROR(INDEX(Weight!$B$2:$B$1000,MATCH(IF(_xlfn.MAXIFS(Weight!$A$2:$A$1000,Weight!$A$2:$A$1000,"&lt;="&amp;A427)&gt;0,_xlfn.MAXIFS(Weight!$A$2:$A$1000,Weight!$A$2:$A$1000,"&lt;="&amp;A427),_xlfn.MINIFS(Weight!$A$2:$A$1000,Weight!$A$2:$A$1000,"&gt;0")),Weight!$A$2:$A$1000,0)),Settings!$B$6))</f>
        <v/>
      </c>
      <c r="I427" s="21">
        <f>IF(B427="","",IFERROR(INDEX(Settings!$B$10:$B$21,MATCH(B427,Settings!$A$10:$A$21,0)),4))</f>
        <v/>
      </c>
      <c r="J427" s="22">
        <f>IF(OR(A427="",C427="",I427=""),"",I427*H427*C427/60)</f>
        <v/>
      </c>
    </row>
    <row r="428">
      <c r="A428" s="35" t="n"/>
      <c r="B428" s="33" t="n"/>
      <c r="C428" s="31" t="n"/>
      <c r="D428" s="30" t="n"/>
      <c r="E428" s="33" t="n"/>
      <c r="F428" s="20">
        <f>IF(A428="","",WEEKNUM(A428,21))</f>
        <v/>
      </c>
      <c r="G428" s="21">
        <f>IF(OR(C428="",N(D428)=0),"",C428/D428)</f>
        <v/>
      </c>
      <c r="H428" s="21">
        <f>IF(A428="","",IFERROR(INDEX(Weight!$B$2:$B$1000,MATCH(IF(_xlfn.MAXIFS(Weight!$A$2:$A$1000,Weight!$A$2:$A$1000,"&lt;="&amp;A428)&gt;0,_xlfn.MAXIFS(Weight!$A$2:$A$1000,Weight!$A$2:$A$1000,"&lt;="&amp;A428),_xlfn.MINIFS(Weight!$A$2:$A$1000,Weight!$A$2:$A$1000,"&gt;0")),Weight!$A$2:$A$1000,0)),Settings!$B$6))</f>
        <v/>
      </c>
      <c r="I428" s="21">
        <f>IF(B428="","",IFERROR(INDEX(Settings!$B$10:$B$21,MATCH(B428,Settings!$A$10:$A$21,0)),4))</f>
        <v/>
      </c>
      <c r="J428" s="22">
        <f>IF(OR(A428="",C428="",I428=""),"",I428*H428*C428/60)</f>
        <v/>
      </c>
    </row>
    <row r="429">
      <c r="A429" s="35" t="n"/>
      <c r="B429" s="33" t="n"/>
      <c r="C429" s="31" t="n"/>
      <c r="D429" s="30" t="n"/>
      <c r="E429" s="33" t="n"/>
      <c r="F429" s="20">
        <f>IF(A429="","",WEEKNUM(A429,21))</f>
        <v/>
      </c>
      <c r="G429" s="21">
        <f>IF(OR(C429="",N(D429)=0),"",C429/D429)</f>
        <v/>
      </c>
      <c r="H429" s="21">
        <f>IF(A429="","",IFERROR(INDEX(Weight!$B$2:$B$1000,MATCH(IF(_xlfn.MAXIFS(Weight!$A$2:$A$1000,Weight!$A$2:$A$1000,"&lt;="&amp;A429)&gt;0,_xlfn.MAXIFS(Weight!$A$2:$A$1000,Weight!$A$2:$A$1000,"&lt;="&amp;A429),_xlfn.MINIFS(Weight!$A$2:$A$1000,Weight!$A$2:$A$1000,"&gt;0")),Weight!$A$2:$A$1000,0)),Settings!$B$6))</f>
        <v/>
      </c>
      <c r="I429" s="21">
        <f>IF(B429="","",IFERROR(INDEX(Settings!$B$10:$B$21,MATCH(B429,Settings!$A$10:$A$21,0)),4))</f>
        <v/>
      </c>
      <c r="J429" s="22">
        <f>IF(OR(A429="",C429="",I429=""),"",I429*H429*C429/60)</f>
        <v/>
      </c>
    </row>
    <row r="430">
      <c r="A430" s="35" t="n"/>
      <c r="B430" s="33" t="n"/>
      <c r="C430" s="31" t="n"/>
      <c r="D430" s="30" t="n"/>
      <c r="E430" s="33" t="n"/>
      <c r="F430" s="20">
        <f>IF(A430="","",WEEKNUM(A430,21))</f>
        <v/>
      </c>
      <c r="G430" s="21">
        <f>IF(OR(C430="",N(D430)=0),"",C430/D430)</f>
        <v/>
      </c>
      <c r="H430" s="21">
        <f>IF(A430="","",IFERROR(INDEX(Weight!$B$2:$B$1000,MATCH(IF(_xlfn.MAXIFS(Weight!$A$2:$A$1000,Weight!$A$2:$A$1000,"&lt;="&amp;A430)&gt;0,_xlfn.MAXIFS(Weight!$A$2:$A$1000,Weight!$A$2:$A$1000,"&lt;="&amp;A430),_xlfn.MINIFS(Weight!$A$2:$A$1000,Weight!$A$2:$A$1000,"&gt;0")),Weight!$A$2:$A$1000,0)),Settings!$B$6))</f>
        <v/>
      </c>
      <c r="I430" s="21">
        <f>IF(B430="","",IFERROR(INDEX(Settings!$B$10:$B$21,MATCH(B430,Settings!$A$10:$A$21,0)),4))</f>
        <v/>
      </c>
      <c r="J430" s="22">
        <f>IF(OR(A430="",C430="",I430=""),"",I430*H430*C430/60)</f>
        <v/>
      </c>
    </row>
    <row r="431">
      <c r="A431" s="35" t="n"/>
      <c r="B431" s="33" t="n"/>
      <c r="C431" s="31" t="n"/>
      <c r="D431" s="30" t="n"/>
      <c r="E431" s="33" t="n"/>
      <c r="F431" s="20">
        <f>IF(A431="","",WEEKNUM(A431,21))</f>
        <v/>
      </c>
      <c r="G431" s="21">
        <f>IF(OR(C431="",N(D431)=0),"",C431/D431)</f>
        <v/>
      </c>
      <c r="H431" s="21">
        <f>IF(A431="","",IFERROR(INDEX(Weight!$B$2:$B$1000,MATCH(IF(_xlfn.MAXIFS(Weight!$A$2:$A$1000,Weight!$A$2:$A$1000,"&lt;="&amp;A431)&gt;0,_xlfn.MAXIFS(Weight!$A$2:$A$1000,Weight!$A$2:$A$1000,"&lt;="&amp;A431),_xlfn.MINIFS(Weight!$A$2:$A$1000,Weight!$A$2:$A$1000,"&gt;0")),Weight!$A$2:$A$1000,0)),Settings!$B$6))</f>
        <v/>
      </c>
      <c r="I431" s="21">
        <f>IF(B431="","",IFERROR(INDEX(Settings!$B$10:$B$21,MATCH(B431,Settings!$A$10:$A$21,0)),4))</f>
        <v/>
      </c>
      <c r="J431" s="22">
        <f>IF(OR(A431="",C431="",I431=""),"",I431*H431*C431/60)</f>
        <v/>
      </c>
    </row>
    <row r="432">
      <c r="A432" s="35" t="n"/>
      <c r="B432" s="33" t="n"/>
      <c r="C432" s="31" t="n"/>
      <c r="D432" s="30" t="n"/>
      <c r="E432" s="33" t="n"/>
      <c r="F432" s="20">
        <f>IF(A432="","",WEEKNUM(A432,21))</f>
        <v/>
      </c>
      <c r="G432" s="21">
        <f>IF(OR(C432="",N(D432)=0),"",C432/D432)</f>
        <v/>
      </c>
      <c r="H432" s="21">
        <f>IF(A432="","",IFERROR(INDEX(Weight!$B$2:$B$1000,MATCH(IF(_xlfn.MAXIFS(Weight!$A$2:$A$1000,Weight!$A$2:$A$1000,"&lt;="&amp;A432)&gt;0,_xlfn.MAXIFS(Weight!$A$2:$A$1000,Weight!$A$2:$A$1000,"&lt;="&amp;A432),_xlfn.MINIFS(Weight!$A$2:$A$1000,Weight!$A$2:$A$1000,"&gt;0")),Weight!$A$2:$A$1000,0)),Settings!$B$6))</f>
        <v/>
      </c>
      <c r="I432" s="21">
        <f>IF(B432="","",IFERROR(INDEX(Settings!$B$10:$B$21,MATCH(B432,Settings!$A$10:$A$21,0)),4))</f>
        <v/>
      </c>
      <c r="J432" s="22">
        <f>IF(OR(A432="",C432="",I432=""),"",I432*H432*C432/60)</f>
        <v/>
      </c>
    </row>
    <row r="433">
      <c r="A433" s="35" t="n"/>
      <c r="B433" s="33" t="n"/>
      <c r="C433" s="31" t="n"/>
      <c r="D433" s="30" t="n"/>
      <c r="E433" s="33" t="n"/>
      <c r="F433" s="20">
        <f>IF(A433="","",WEEKNUM(A433,21))</f>
        <v/>
      </c>
      <c r="G433" s="21">
        <f>IF(OR(C433="",N(D433)=0),"",C433/D433)</f>
        <v/>
      </c>
      <c r="H433" s="21">
        <f>IF(A433="","",IFERROR(INDEX(Weight!$B$2:$B$1000,MATCH(IF(_xlfn.MAXIFS(Weight!$A$2:$A$1000,Weight!$A$2:$A$1000,"&lt;="&amp;A433)&gt;0,_xlfn.MAXIFS(Weight!$A$2:$A$1000,Weight!$A$2:$A$1000,"&lt;="&amp;A433),_xlfn.MINIFS(Weight!$A$2:$A$1000,Weight!$A$2:$A$1000,"&gt;0")),Weight!$A$2:$A$1000,0)),Settings!$B$6))</f>
        <v/>
      </c>
      <c r="I433" s="21">
        <f>IF(B433="","",IFERROR(INDEX(Settings!$B$10:$B$21,MATCH(B433,Settings!$A$10:$A$21,0)),4))</f>
        <v/>
      </c>
      <c r="J433" s="22">
        <f>IF(OR(A433="",C433="",I433=""),"",I433*H433*C433/60)</f>
        <v/>
      </c>
    </row>
    <row r="434">
      <c r="A434" s="35" t="n"/>
      <c r="B434" s="33" t="n"/>
      <c r="C434" s="31" t="n"/>
      <c r="D434" s="30" t="n"/>
      <c r="E434" s="33" t="n"/>
      <c r="F434" s="20">
        <f>IF(A434="","",WEEKNUM(A434,21))</f>
        <v/>
      </c>
      <c r="G434" s="21">
        <f>IF(OR(C434="",N(D434)=0),"",C434/D434)</f>
        <v/>
      </c>
      <c r="H434" s="21">
        <f>IF(A434="","",IFERROR(INDEX(Weight!$B$2:$B$1000,MATCH(IF(_xlfn.MAXIFS(Weight!$A$2:$A$1000,Weight!$A$2:$A$1000,"&lt;="&amp;A434)&gt;0,_xlfn.MAXIFS(Weight!$A$2:$A$1000,Weight!$A$2:$A$1000,"&lt;="&amp;A434),_xlfn.MINIFS(Weight!$A$2:$A$1000,Weight!$A$2:$A$1000,"&gt;0")),Weight!$A$2:$A$1000,0)),Settings!$B$6))</f>
        <v/>
      </c>
      <c r="I434" s="21">
        <f>IF(B434="","",IFERROR(INDEX(Settings!$B$10:$B$21,MATCH(B434,Settings!$A$10:$A$21,0)),4))</f>
        <v/>
      </c>
      <c r="J434" s="22">
        <f>IF(OR(A434="",C434="",I434=""),"",I434*H434*C434/60)</f>
        <v/>
      </c>
    </row>
    <row r="435">
      <c r="A435" s="35" t="n"/>
      <c r="B435" s="33" t="n"/>
      <c r="C435" s="31" t="n"/>
      <c r="D435" s="30" t="n"/>
      <c r="E435" s="33" t="n"/>
      <c r="F435" s="20">
        <f>IF(A435="","",WEEKNUM(A435,21))</f>
        <v/>
      </c>
      <c r="G435" s="21">
        <f>IF(OR(C435="",N(D435)=0),"",C435/D435)</f>
        <v/>
      </c>
      <c r="H435" s="21">
        <f>IF(A435="","",IFERROR(INDEX(Weight!$B$2:$B$1000,MATCH(IF(_xlfn.MAXIFS(Weight!$A$2:$A$1000,Weight!$A$2:$A$1000,"&lt;="&amp;A435)&gt;0,_xlfn.MAXIFS(Weight!$A$2:$A$1000,Weight!$A$2:$A$1000,"&lt;="&amp;A435),_xlfn.MINIFS(Weight!$A$2:$A$1000,Weight!$A$2:$A$1000,"&gt;0")),Weight!$A$2:$A$1000,0)),Settings!$B$6))</f>
        <v/>
      </c>
      <c r="I435" s="21">
        <f>IF(B435="","",IFERROR(INDEX(Settings!$B$10:$B$21,MATCH(B435,Settings!$A$10:$A$21,0)),4))</f>
        <v/>
      </c>
      <c r="J435" s="22">
        <f>IF(OR(A435="",C435="",I435=""),"",I435*H435*C435/60)</f>
        <v/>
      </c>
    </row>
    <row r="436">
      <c r="A436" s="35" t="n"/>
      <c r="B436" s="33" t="n"/>
      <c r="C436" s="31" t="n"/>
      <c r="D436" s="30" t="n"/>
      <c r="E436" s="33" t="n"/>
      <c r="F436" s="20">
        <f>IF(A436="","",WEEKNUM(A436,21))</f>
        <v/>
      </c>
      <c r="G436" s="21">
        <f>IF(OR(C436="",N(D436)=0),"",C436/D436)</f>
        <v/>
      </c>
      <c r="H436" s="21">
        <f>IF(A436="","",IFERROR(INDEX(Weight!$B$2:$B$1000,MATCH(IF(_xlfn.MAXIFS(Weight!$A$2:$A$1000,Weight!$A$2:$A$1000,"&lt;="&amp;A436)&gt;0,_xlfn.MAXIFS(Weight!$A$2:$A$1000,Weight!$A$2:$A$1000,"&lt;="&amp;A436),_xlfn.MINIFS(Weight!$A$2:$A$1000,Weight!$A$2:$A$1000,"&gt;0")),Weight!$A$2:$A$1000,0)),Settings!$B$6))</f>
        <v/>
      </c>
      <c r="I436" s="21">
        <f>IF(B436="","",IFERROR(INDEX(Settings!$B$10:$B$21,MATCH(B436,Settings!$A$10:$A$21,0)),4))</f>
        <v/>
      </c>
      <c r="J436" s="22">
        <f>IF(OR(A436="",C436="",I436=""),"",I436*H436*C436/60)</f>
        <v/>
      </c>
    </row>
    <row r="437">
      <c r="A437" s="35" t="n"/>
      <c r="B437" s="33" t="n"/>
      <c r="C437" s="31" t="n"/>
      <c r="D437" s="30" t="n"/>
      <c r="E437" s="33" t="n"/>
      <c r="F437" s="20">
        <f>IF(A437="","",WEEKNUM(A437,21))</f>
        <v/>
      </c>
      <c r="G437" s="21">
        <f>IF(OR(C437="",N(D437)=0),"",C437/D437)</f>
        <v/>
      </c>
      <c r="H437" s="21">
        <f>IF(A437="","",IFERROR(INDEX(Weight!$B$2:$B$1000,MATCH(IF(_xlfn.MAXIFS(Weight!$A$2:$A$1000,Weight!$A$2:$A$1000,"&lt;="&amp;A437)&gt;0,_xlfn.MAXIFS(Weight!$A$2:$A$1000,Weight!$A$2:$A$1000,"&lt;="&amp;A437),_xlfn.MINIFS(Weight!$A$2:$A$1000,Weight!$A$2:$A$1000,"&gt;0")),Weight!$A$2:$A$1000,0)),Settings!$B$6))</f>
        <v/>
      </c>
      <c r="I437" s="21">
        <f>IF(B437="","",IFERROR(INDEX(Settings!$B$10:$B$21,MATCH(B437,Settings!$A$10:$A$21,0)),4))</f>
        <v/>
      </c>
      <c r="J437" s="22">
        <f>IF(OR(A437="",C437="",I437=""),"",I437*H437*C437/60)</f>
        <v/>
      </c>
    </row>
    <row r="438">
      <c r="A438" s="35" t="n"/>
      <c r="B438" s="33" t="n"/>
      <c r="C438" s="31" t="n"/>
      <c r="D438" s="30" t="n"/>
      <c r="E438" s="33" t="n"/>
      <c r="F438" s="20">
        <f>IF(A438="","",WEEKNUM(A438,21))</f>
        <v/>
      </c>
      <c r="G438" s="21">
        <f>IF(OR(C438="",N(D438)=0),"",C438/D438)</f>
        <v/>
      </c>
      <c r="H438" s="21">
        <f>IF(A438="","",IFERROR(INDEX(Weight!$B$2:$B$1000,MATCH(IF(_xlfn.MAXIFS(Weight!$A$2:$A$1000,Weight!$A$2:$A$1000,"&lt;="&amp;A438)&gt;0,_xlfn.MAXIFS(Weight!$A$2:$A$1000,Weight!$A$2:$A$1000,"&lt;="&amp;A438),_xlfn.MINIFS(Weight!$A$2:$A$1000,Weight!$A$2:$A$1000,"&gt;0")),Weight!$A$2:$A$1000,0)),Settings!$B$6))</f>
        <v/>
      </c>
      <c r="I438" s="21">
        <f>IF(B438="","",IFERROR(INDEX(Settings!$B$10:$B$21,MATCH(B438,Settings!$A$10:$A$21,0)),4))</f>
        <v/>
      </c>
      <c r="J438" s="22">
        <f>IF(OR(A438="",C438="",I438=""),"",I438*H438*C438/60)</f>
        <v/>
      </c>
    </row>
    <row r="439">
      <c r="A439" s="35" t="n"/>
      <c r="B439" s="33" t="n"/>
      <c r="C439" s="31" t="n"/>
      <c r="D439" s="30" t="n"/>
      <c r="E439" s="33" t="n"/>
      <c r="F439" s="20">
        <f>IF(A439="","",WEEKNUM(A439,21))</f>
        <v/>
      </c>
      <c r="G439" s="21">
        <f>IF(OR(C439="",N(D439)=0),"",C439/D439)</f>
        <v/>
      </c>
      <c r="H439" s="21">
        <f>IF(A439="","",IFERROR(INDEX(Weight!$B$2:$B$1000,MATCH(IF(_xlfn.MAXIFS(Weight!$A$2:$A$1000,Weight!$A$2:$A$1000,"&lt;="&amp;A439)&gt;0,_xlfn.MAXIFS(Weight!$A$2:$A$1000,Weight!$A$2:$A$1000,"&lt;="&amp;A439),_xlfn.MINIFS(Weight!$A$2:$A$1000,Weight!$A$2:$A$1000,"&gt;0")),Weight!$A$2:$A$1000,0)),Settings!$B$6))</f>
        <v/>
      </c>
      <c r="I439" s="21">
        <f>IF(B439="","",IFERROR(INDEX(Settings!$B$10:$B$21,MATCH(B439,Settings!$A$10:$A$21,0)),4))</f>
        <v/>
      </c>
      <c r="J439" s="22">
        <f>IF(OR(A439="",C439="",I439=""),"",I439*H439*C439/60)</f>
        <v/>
      </c>
    </row>
    <row r="440">
      <c r="A440" s="35" t="n"/>
      <c r="B440" s="33" t="n"/>
      <c r="C440" s="31" t="n"/>
      <c r="D440" s="30" t="n"/>
      <c r="E440" s="33" t="n"/>
      <c r="F440" s="20">
        <f>IF(A440="","",WEEKNUM(A440,21))</f>
        <v/>
      </c>
      <c r="G440" s="21">
        <f>IF(OR(C440="",N(D440)=0),"",C440/D440)</f>
        <v/>
      </c>
      <c r="H440" s="21">
        <f>IF(A440="","",IFERROR(INDEX(Weight!$B$2:$B$1000,MATCH(IF(_xlfn.MAXIFS(Weight!$A$2:$A$1000,Weight!$A$2:$A$1000,"&lt;="&amp;A440)&gt;0,_xlfn.MAXIFS(Weight!$A$2:$A$1000,Weight!$A$2:$A$1000,"&lt;="&amp;A440),_xlfn.MINIFS(Weight!$A$2:$A$1000,Weight!$A$2:$A$1000,"&gt;0")),Weight!$A$2:$A$1000,0)),Settings!$B$6))</f>
        <v/>
      </c>
      <c r="I440" s="21">
        <f>IF(B440="","",IFERROR(INDEX(Settings!$B$10:$B$21,MATCH(B440,Settings!$A$10:$A$21,0)),4))</f>
        <v/>
      </c>
      <c r="J440" s="22">
        <f>IF(OR(A440="",C440="",I440=""),"",I440*H440*C440/60)</f>
        <v/>
      </c>
    </row>
    <row r="441">
      <c r="A441" s="35" t="n"/>
      <c r="B441" s="33" t="n"/>
      <c r="C441" s="31" t="n"/>
      <c r="D441" s="30" t="n"/>
      <c r="E441" s="33" t="n"/>
      <c r="F441" s="20">
        <f>IF(A441="","",WEEKNUM(A441,21))</f>
        <v/>
      </c>
      <c r="G441" s="21">
        <f>IF(OR(C441="",N(D441)=0),"",C441/D441)</f>
        <v/>
      </c>
      <c r="H441" s="21">
        <f>IF(A441="","",IFERROR(INDEX(Weight!$B$2:$B$1000,MATCH(IF(_xlfn.MAXIFS(Weight!$A$2:$A$1000,Weight!$A$2:$A$1000,"&lt;="&amp;A441)&gt;0,_xlfn.MAXIFS(Weight!$A$2:$A$1000,Weight!$A$2:$A$1000,"&lt;="&amp;A441),_xlfn.MINIFS(Weight!$A$2:$A$1000,Weight!$A$2:$A$1000,"&gt;0")),Weight!$A$2:$A$1000,0)),Settings!$B$6))</f>
        <v/>
      </c>
      <c r="I441" s="21">
        <f>IF(B441="","",IFERROR(INDEX(Settings!$B$10:$B$21,MATCH(B441,Settings!$A$10:$A$21,0)),4))</f>
        <v/>
      </c>
      <c r="J441" s="22">
        <f>IF(OR(A441="",C441="",I441=""),"",I441*H441*C441/60)</f>
        <v/>
      </c>
    </row>
    <row r="442">
      <c r="A442" s="35" t="n"/>
      <c r="B442" s="33" t="n"/>
      <c r="C442" s="31" t="n"/>
      <c r="D442" s="30" t="n"/>
      <c r="E442" s="33" t="n"/>
      <c r="F442" s="20">
        <f>IF(A442="","",WEEKNUM(A442,21))</f>
        <v/>
      </c>
      <c r="G442" s="21">
        <f>IF(OR(C442="",N(D442)=0),"",C442/D442)</f>
        <v/>
      </c>
      <c r="H442" s="21">
        <f>IF(A442="","",IFERROR(INDEX(Weight!$B$2:$B$1000,MATCH(IF(_xlfn.MAXIFS(Weight!$A$2:$A$1000,Weight!$A$2:$A$1000,"&lt;="&amp;A442)&gt;0,_xlfn.MAXIFS(Weight!$A$2:$A$1000,Weight!$A$2:$A$1000,"&lt;="&amp;A442),_xlfn.MINIFS(Weight!$A$2:$A$1000,Weight!$A$2:$A$1000,"&gt;0")),Weight!$A$2:$A$1000,0)),Settings!$B$6))</f>
        <v/>
      </c>
      <c r="I442" s="21">
        <f>IF(B442="","",IFERROR(INDEX(Settings!$B$10:$B$21,MATCH(B442,Settings!$A$10:$A$21,0)),4))</f>
        <v/>
      </c>
      <c r="J442" s="22">
        <f>IF(OR(A442="",C442="",I442=""),"",I442*H442*C442/60)</f>
        <v/>
      </c>
    </row>
    <row r="443">
      <c r="A443" s="35" t="n"/>
      <c r="B443" s="33" t="n"/>
      <c r="C443" s="31" t="n"/>
      <c r="D443" s="30" t="n"/>
      <c r="E443" s="33" t="n"/>
      <c r="F443" s="20">
        <f>IF(A443="","",WEEKNUM(A443,21))</f>
        <v/>
      </c>
      <c r="G443" s="21">
        <f>IF(OR(C443="",N(D443)=0),"",C443/D443)</f>
        <v/>
      </c>
      <c r="H443" s="21">
        <f>IF(A443="","",IFERROR(INDEX(Weight!$B$2:$B$1000,MATCH(IF(_xlfn.MAXIFS(Weight!$A$2:$A$1000,Weight!$A$2:$A$1000,"&lt;="&amp;A443)&gt;0,_xlfn.MAXIFS(Weight!$A$2:$A$1000,Weight!$A$2:$A$1000,"&lt;="&amp;A443),_xlfn.MINIFS(Weight!$A$2:$A$1000,Weight!$A$2:$A$1000,"&gt;0")),Weight!$A$2:$A$1000,0)),Settings!$B$6))</f>
        <v/>
      </c>
      <c r="I443" s="21">
        <f>IF(B443="","",IFERROR(INDEX(Settings!$B$10:$B$21,MATCH(B443,Settings!$A$10:$A$21,0)),4))</f>
        <v/>
      </c>
      <c r="J443" s="22">
        <f>IF(OR(A443="",C443="",I443=""),"",I443*H443*C443/60)</f>
        <v/>
      </c>
    </row>
    <row r="444">
      <c r="A444" s="35" t="n"/>
      <c r="B444" s="33" t="n"/>
      <c r="C444" s="31" t="n"/>
      <c r="D444" s="30" t="n"/>
      <c r="E444" s="33" t="n"/>
      <c r="F444" s="20">
        <f>IF(A444="","",WEEKNUM(A444,21))</f>
        <v/>
      </c>
      <c r="G444" s="21">
        <f>IF(OR(C444="",N(D444)=0),"",C444/D444)</f>
        <v/>
      </c>
      <c r="H444" s="21">
        <f>IF(A444="","",IFERROR(INDEX(Weight!$B$2:$B$1000,MATCH(IF(_xlfn.MAXIFS(Weight!$A$2:$A$1000,Weight!$A$2:$A$1000,"&lt;="&amp;A444)&gt;0,_xlfn.MAXIFS(Weight!$A$2:$A$1000,Weight!$A$2:$A$1000,"&lt;="&amp;A444),_xlfn.MINIFS(Weight!$A$2:$A$1000,Weight!$A$2:$A$1000,"&gt;0")),Weight!$A$2:$A$1000,0)),Settings!$B$6))</f>
        <v/>
      </c>
      <c r="I444" s="21">
        <f>IF(B444="","",IFERROR(INDEX(Settings!$B$10:$B$21,MATCH(B444,Settings!$A$10:$A$21,0)),4))</f>
        <v/>
      </c>
      <c r="J444" s="22">
        <f>IF(OR(A444="",C444="",I444=""),"",I444*H444*C444/60)</f>
        <v/>
      </c>
    </row>
    <row r="445">
      <c r="A445" s="35" t="n"/>
      <c r="B445" s="33" t="n"/>
      <c r="C445" s="31" t="n"/>
      <c r="D445" s="30" t="n"/>
      <c r="E445" s="33" t="n"/>
      <c r="F445" s="20">
        <f>IF(A445="","",WEEKNUM(A445,21))</f>
        <v/>
      </c>
      <c r="G445" s="21">
        <f>IF(OR(C445="",N(D445)=0),"",C445/D445)</f>
        <v/>
      </c>
      <c r="H445" s="21">
        <f>IF(A445="","",IFERROR(INDEX(Weight!$B$2:$B$1000,MATCH(IF(_xlfn.MAXIFS(Weight!$A$2:$A$1000,Weight!$A$2:$A$1000,"&lt;="&amp;A445)&gt;0,_xlfn.MAXIFS(Weight!$A$2:$A$1000,Weight!$A$2:$A$1000,"&lt;="&amp;A445),_xlfn.MINIFS(Weight!$A$2:$A$1000,Weight!$A$2:$A$1000,"&gt;0")),Weight!$A$2:$A$1000,0)),Settings!$B$6))</f>
        <v/>
      </c>
      <c r="I445" s="21">
        <f>IF(B445="","",IFERROR(INDEX(Settings!$B$10:$B$21,MATCH(B445,Settings!$A$10:$A$21,0)),4))</f>
        <v/>
      </c>
      <c r="J445" s="22">
        <f>IF(OR(A445="",C445="",I445=""),"",I445*H445*C445/60)</f>
        <v/>
      </c>
    </row>
    <row r="446">
      <c r="A446" s="35" t="n"/>
      <c r="B446" s="33" t="n"/>
      <c r="C446" s="31" t="n"/>
      <c r="D446" s="30" t="n"/>
      <c r="E446" s="33" t="n"/>
      <c r="F446" s="20">
        <f>IF(A446="","",WEEKNUM(A446,21))</f>
        <v/>
      </c>
      <c r="G446" s="21">
        <f>IF(OR(C446="",N(D446)=0),"",C446/D446)</f>
        <v/>
      </c>
      <c r="H446" s="21">
        <f>IF(A446="","",IFERROR(INDEX(Weight!$B$2:$B$1000,MATCH(IF(_xlfn.MAXIFS(Weight!$A$2:$A$1000,Weight!$A$2:$A$1000,"&lt;="&amp;A446)&gt;0,_xlfn.MAXIFS(Weight!$A$2:$A$1000,Weight!$A$2:$A$1000,"&lt;="&amp;A446),_xlfn.MINIFS(Weight!$A$2:$A$1000,Weight!$A$2:$A$1000,"&gt;0")),Weight!$A$2:$A$1000,0)),Settings!$B$6))</f>
        <v/>
      </c>
      <c r="I446" s="21">
        <f>IF(B446="","",IFERROR(INDEX(Settings!$B$10:$B$21,MATCH(B446,Settings!$A$10:$A$21,0)),4))</f>
        <v/>
      </c>
      <c r="J446" s="22">
        <f>IF(OR(A446="",C446="",I446=""),"",I446*H446*C446/60)</f>
        <v/>
      </c>
    </row>
    <row r="447">
      <c r="A447" s="35" t="n"/>
      <c r="B447" s="33" t="n"/>
      <c r="C447" s="31" t="n"/>
      <c r="D447" s="30" t="n"/>
      <c r="E447" s="33" t="n"/>
      <c r="F447" s="20">
        <f>IF(A447="","",WEEKNUM(A447,21))</f>
        <v/>
      </c>
      <c r="G447" s="21">
        <f>IF(OR(C447="",N(D447)=0),"",C447/D447)</f>
        <v/>
      </c>
      <c r="H447" s="21">
        <f>IF(A447="","",IFERROR(INDEX(Weight!$B$2:$B$1000,MATCH(IF(_xlfn.MAXIFS(Weight!$A$2:$A$1000,Weight!$A$2:$A$1000,"&lt;="&amp;A447)&gt;0,_xlfn.MAXIFS(Weight!$A$2:$A$1000,Weight!$A$2:$A$1000,"&lt;="&amp;A447),_xlfn.MINIFS(Weight!$A$2:$A$1000,Weight!$A$2:$A$1000,"&gt;0")),Weight!$A$2:$A$1000,0)),Settings!$B$6))</f>
        <v/>
      </c>
      <c r="I447" s="21">
        <f>IF(B447="","",IFERROR(INDEX(Settings!$B$10:$B$21,MATCH(B447,Settings!$A$10:$A$21,0)),4))</f>
        <v/>
      </c>
      <c r="J447" s="22">
        <f>IF(OR(A447="",C447="",I447=""),"",I447*H447*C447/60)</f>
        <v/>
      </c>
    </row>
    <row r="448">
      <c r="A448" s="35" t="n"/>
      <c r="B448" s="33" t="n"/>
      <c r="C448" s="31" t="n"/>
      <c r="D448" s="30" t="n"/>
      <c r="E448" s="33" t="n"/>
      <c r="F448" s="20">
        <f>IF(A448="","",WEEKNUM(A448,21))</f>
        <v/>
      </c>
      <c r="G448" s="21">
        <f>IF(OR(C448="",N(D448)=0),"",C448/D448)</f>
        <v/>
      </c>
      <c r="H448" s="21">
        <f>IF(A448="","",IFERROR(INDEX(Weight!$B$2:$B$1000,MATCH(IF(_xlfn.MAXIFS(Weight!$A$2:$A$1000,Weight!$A$2:$A$1000,"&lt;="&amp;A448)&gt;0,_xlfn.MAXIFS(Weight!$A$2:$A$1000,Weight!$A$2:$A$1000,"&lt;="&amp;A448),_xlfn.MINIFS(Weight!$A$2:$A$1000,Weight!$A$2:$A$1000,"&gt;0")),Weight!$A$2:$A$1000,0)),Settings!$B$6))</f>
        <v/>
      </c>
      <c r="I448" s="21">
        <f>IF(B448="","",IFERROR(INDEX(Settings!$B$10:$B$21,MATCH(B448,Settings!$A$10:$A$21,0)),4))</f>
        <v/>
      </c>
      <c r="J448" s="22">
        <f>IF(OR(A448="",C448="",I448=""),"",I448*H448*C448/60)</f>
        <v/>
      </c>
    </row>
    <row r="449">
      <c r="A449" s="35" t="n"/>
      <c r="B449" s="33" t="n"/>
      <c r="C449" s="31" t="n"/>
      <c r="D449" s="30" t="n"/>
      <c r="E449" s="33" t="n"/>
      <c r="F449" s="20">
        <f>IF(A449="","",WEEKNUM(A449,21))</f>
        <v/>
      </c>
      <c r="G449" s="21">
        <f>IF(OR(C449="",N(D449)=0),"",C449/D449)</f>
        <v/>
      </c>
      <c r="H449" s="21">
        <f>IF(A449="","",IFERROR(INDEX(Weight!$B$2:$B$1000,MATCH(IF(_xlfn.MAXIFS(Weight!$A$2:$A$1000,Weight!$A$2:$A$1000,"&lt;="&amp;A449)&gt;0,_xlfn.MAXIFS(Weight!$A$2:$A$1000,Weight!$A$2:$A$1000,"&lt;="&amp;A449),_xlfn.MINIFS(Weight!$A$2:$A$1000,Weight!$A$2:$A$1000,"&gt;0")),Weight!$A$2:$A$1000,0)),Settings!$B$6))</f>
        <v/>
      </c>
      <c r="I449" s="21">
        <f>IF(B449="","",IFERROR(INDEX(Settings!$B$10:$B$21,MATCH(B449,Settings!$A$10:$A$21,0)),4))</f>
        <v/>
      </c>
      <c r="J449" s="22">
        <f>IF(OR(A449="",C449="",I449=""),"",I449*H449*C449/60)</f>
        <v/>
      </c>
    </row>
    <row r="450">
      <c r="A450" s="35" t="n"/>
      <c r="B450" s="33" t="n"/>
      <c r="C450" s="31" t="n"/>
      <c r="D450" s="30" t="n"/>
      <c r="E450" s="33" t="n"/>
      <c r="F450" s="20">
        <f>IF(A450="","",WEEKNUM(A450,21))</f>
        <v/>
      </c>
      <c r="G450" s="21">
        <f>IF(OR(C450="",N(D450)=0),"",C450/D450)</f>
        <v/>
      </c>
      <c r="H450" s="21">
        <f>IF(A450="","",IFERROR(INDEX(Weight!$B$2:$B$1000,MATCH(IF(_xlfn.MAXIFS(Weight!$A$2:$A$1000,Weight!$A$2:$A$1000,"&lt;="&amp;A450)&gt;0,_xlfn.MAXIFS(Weight!$A$2:$A$1000,Weight!$A$2:$A$1000,"&lt;="&amp;A450),_xlfn.MINIFS(Weight!$A$2:$A$1000,Weight!$A$2:$A$1000,"&gt;0")),Weight!$A$2:$A$1000,0)),Settings!$B$6))</f>
        <v/>
      </c>
      <c r="I450" s="21">
        <f>IF(B450="","",IFERROR(INDEX(Settings!$B$10:$B$21,MATCH(B450,Settings!$A$10:$A$21,0)),4))</f>
        <v/>
      </c>
      <c r="J450" s="22">
        <f>IF(OR(A450="",C450="",I450=""),"",I450*H450*C450/60)</f>
        <v/>
      </c>
    </row>
    <row r="451">
      <c r="A451" s="35" t="n"/>
      <c r="B451" s="33" t="n"/>
      <c r="C451" s="31" t="n"/>
      <c r="D451" s="30" t="n"/>
      <c r="E451" s="33" t="n"/>
      <c r="F451" s="20">
        <f>IF(A451="","",WEEKNUM(A451,21))</f>
        <v/>
      </c>
      <c r="G451" s="21">
        <f>IF(OR(C451="",N(D451)=0),"",C451/D451)</f>
        <v/>
      </c>
      <c r="H451" s="21">
        <f>IF(A451="","",IFERROR(INDEX(Weight!$B$2:$B$1000,MATCH(IF(_xlfn.MAXIFS(Weight!$A$2:$A$1000,Weight!$A$2:$A$1000,"&lt;="&amp;A451)&gt;0,_xlfn.MAXIFS(Weight!$A$2:$A$1000,Weight!$A$2:$A$1000,"&lt;="&amp;A451),_xlfn.MINIFS(Weight!$A$2:$A$1000,Weight!$A$2:$A$1000,"&gt;0")),Weight!$A$2:$A$1000,0)),Settings!$B$6))</f>
        <v/>
      </c>
      <c r="I451" s="21">
        <f>IF(B451="","",IFERROR(INDEX(Settings!$B$10:$B$21,MATCH(B451,Settings!$A$10:$A$21,0)),4))</f>
        <v/>
      </c>
      <c r="J451" s="22">
        <f>IF(OR(A451="",C451="",I451=""),"",I451*H451*C451/60)</f>
        <v/>
      </c>
    </row>
    <row r="452">
      <c r="A452" s="35" t="n"/>
      <c r="B452" s="33" t="n"/>
      <c r="C452" s="31" t="n"/>
      <c r="D452" s="30" t="n"/>
      <c r="E452" s="33" t="n"/>
      <c r="F452" s="20">
        <f>IF(A452="","",WEEKNUM(A452,21))</f>
        <v/>
      </c>
      <c r="G452" s="21">
        <f>IF(OR(C452="",N(D452)=0),"",C452/D452)</f>
        <v/>
      </c>
      <c r="H452" s="21">
        <f>IF(A452="","",IFERROR(INDEX(Weight!$B$2:$B$1000,MATCH(IF(_xlfn.MAXIFS(Weight!$A$2:$A$1000,Weight!$A$2:$A$1000,"&lt;="&amp;A452)&gt;0,_xlfn.MAXIFS(Weight!$A$2:$A$1000,Weight!$A$2:$A$1000,"&lt;="&amp;A452),_xlfn.MINIFS(Weight!$A$2:$A$1000,Weight!$A$2:$A$1000,"&gt;0")),Weight!$A$2:$A$1000,0)),Settings!$B$6))</f>
        <v/>
      </c>
      <c r="I452" s="21">
        <f>IF(B452="","",IFERROR(INDEX(Settings!$B$10:$B$21,MATCH(B452,Settings!$A$10:$A$21,0)),4))</f>
        <v/>
      </c>
      <c r="J452" s="22">
        <f>IF(OR(A452="",C452="",I452=""),"",I452*H452*C452/60)</f>
        <v/>
      </c>
    </row>
    <row r="453">
      <c r="A453" s="35" t="n"/>
      <c r="B453" s="33" t="n"/>
      <c r="C453" s="31" t="n"/>
      <c r="D453" s="30" t="n"/>
      <c r="E453" s="33" t="n"/>
      <c r="F453" s="20">
        <f>IF(A453="","",WEEKNUM(A453,21))</f>
        <v/>
      </c>
      <c r="G453" s="21">
        <f>IF(OR(C453="",N(D453)=0),"",C453/D453)</f>
        <v/>
      </c>
      <c r="H453" s="21">
        <f>IF(A453="","",IFERROR(INDEX(Weight!$B$2:$B$1000,MATCH(IF(_xlfn.MAXIFS(Weight!$A$2:$A$1000,Weight!$A$2:$A$1000,"&lt;="&amp;A453)&gt;0,_xlfn.MAXIFS(Weight!$A$2:$A$1000,Weight!$A$2:$A$1000,"&lt;="&amp;A453),_xlfn.MINIFS(Weight!$A$2:$A$1000,Weight!$A$2:$A$1000,"&gt;0")),Weight!$A$2:$A$1000,0)),Settings!$B$6))</f>
        <v/>
      </c>
      <c r="I453" s="21">
        <f>IF(B453="","",IFERROR(INDEX(Settings!$B$10:$B$21,MATCH(B453,Settings!$A$10:$A$21,0)),4))</f>
        <v/>
      </c>
      <c r="J453" s="22">
        <f>IF(OR(A453="",C453="",I453=""),"",I453*H453*C453/60)</f>
        <v/>
      </c>
    </row>
    <row r="454">
      <c r="A454" s="35" t="n"/>
      <c r="B454" s="33" t="n"/>
      <c r="C454" s="31" t="n"/>
      <c r="D454" s="30" t="n"/>
      <c r="E454" s="33" t="n"/>
      <c r="F454" s="20">
        <f>IF(A454="","",WEEKNUM(A454,21))</f>
        <v/>
      </c>
      <c r="G454" s="21">
        <f>IF(OR(C454="",N(D454)=0),"",C454/D454)</f>
        <v/>
      </c>
      <c r="H454" s="21">
        <f>IF(A454="","",IFERROR(INDEX(Weight!$B$2:$B$1000,MATCH(IF(_xlfn.MAXIFS(Weight!$A$2:$A$1000,Weight!$A$2:$A$1000,"&lt;="&amp;A454)&gt;0,_xlfn.MAXIFS(Weight!$A$2:$A$1000,Weight!$A$2:$A$1000,"&lt;="&amp;A454),_xlfn.MINIFS(Weight!$A$2:$A$1000,Weight!$A$2:$A$1000,"&gt;0")),Weight!$A$2:$A$1000,0)),Settings!$B$6))</f>
        <v/>
      </c>
      <c r="I454" s="21">
        <f>IF(B454="","",IFERROR(INDEX(Settings!$B$10:$B$21,MATCH(B454,Settings!$A$10:$A$21,0)),4))</f>
        <v/>
      </c>
      <c r="J454" s="22">
        <f>IF(OR(A454="",C454="",I454=""),"",I454*H454*C454/60)</f>
        <v/>
      </c>
    </row>
    <row r="455">
      <c r="A455" s="35" t="n"/>
      <c r="B455" s="33" t="n"/>
      <c r="C455" s="31" t="n"/>
      <c r="D455" s="30" t="n"/>
      <c r="E455" s="33" t="n"/>
      <c r="F455" s="20">
        <f>IF(A455="","",WEEKNUM(A455,21))</f>
        <v/>
      </c>
      <c r="G455" s="21">
        <f>IF(OR(C455="",N(D455)=0),"",C455/D455)</f>
        <v/>
      </c>
      <c r="H455" s="21">
        <f>IF(A455="","",IFERROR(INDEX(Weight!$B$2:$B$1000,MATCH(IF(_xlfn.MAXIFS(Weight!$A$2:$A$1000,Weight!$A$2:$A$1000,"&lt;="&amp;A455)&gt;0,_xlfn.MAXIFS(Weight!$A$2:$A$1000,Weight!$A$2:$A$1000,"&lt;="&amp;A455),_xlfn.MINIFS(Weight!$A$2:$A$1000,Weight!$A$2:$A$1000,"&gt;0")),Weight!$A$2:$A$1000,0)),Settings!$B$6))</f>
        <v/>
      </c>
      <c r="I455" s="21">
        <f>IF(B455="","",IFERROR(INDEX(Settings!$B$10:$B$21,MATCH(B455,Settings!$A$10:$A$21,0)),4))</f>
        <v/>
      </c>
      <c r="J455" s="22">
        <f>IF(OR(A455="",C455="",I455=""),"",I455*H455*C455/60)</f>
        <v/>
      </c>
    </row>
    <row r="456">
      <c r="A456" s="35" t="n"/>
      <c r="B456" s="33" t="n"/>
      <c r="C456" s="31" t="n"/>
      <c r="D456" s="30" t="n"/>
      <c r="E456" s="33" t="n"/>
      <c r="F456" s="20">
        <f>IF(A456="","",WEEKNUM(A456,21))</f>
        <v/>
      </c>
      <c r="G456" s="21">
        <f>IF(OR(C456="",N(D456)=0),"",C456/D456)</f>
        <v/>
      </c>
      <c r="H456" s="21">
        <f>IF(A456="","",IFERROR(INDEX(Weight!$B$2:$B$1000,MATCH(IF(_xlfn.MAXIFS(Weight!$A$2:$A$1000,Weight!$A$2:$A$1000,"&lt;="&amp;A456)&gt;0,_xlfn.MAXIFS(Weight!$A$2:$A$1000,Weight!$A$2:$A$1000,"&lt;="&amp;A456),_xlfn.MINIFS(Weight!$A$2:$A$1000,Weight!$A$2:$A$1000,"&gt;0")),Weight!$A$2:$A$1000,0)),Settings!$B$6))</f>
        <v/>
      </c>
      <c r="I456" s="21">
        <f>IF(B456="","",IFERROR(INDEX(Settings!$B$10:$B$21,MATCH(B456,Settings!$A$10:$A$21,0)),4))</f>
        <v/>
      </c>
      <c r="J456" s="22">
        <f>IF(OR(A456="",C456="",I456=""),"",I456*H456*C456/60)</f>
        <v/>
      </c>
    </row>
    <row r="457">
      <c r="A457" s="35" t="n"/>
      <c r="B457" s="33" t="n"/>
      <c r="C457" s="31" t="n"/>
      <c r="D457" s="30" t="n"/>
      <c r="E457" s="33" t="n"/>
      <c r="F457" s="20">
        <f>IF(A457="","",WEEKNUM(A457,21))</f>
        <v/>
      </c>
      <c r="G457" s="21">
        <f>IF(OR(C457="",N(D457)=0),"",C457/D457)</f>
        <v/>
      </c>
      <c r="H457" s="21">
        <f>IF(A457="","",IFERROR(INDEX(Weight!$B$2:$B$1000,MATCH(IF(_xlfn.MAXIFS(Weight!$A$2:$A$1000,Weight!$A$2:$A$1000,"&lt;="&amp;A457)&gt;0,_xlfn.MAXIFS(Weight!$A$2:$A$1000,Weight!$A$2:$A$1000,"&lt;="&amp;A457),_xlfn.MINIFS(Weight!$A$2:$A$1000,Weight!$A$2:$A$1000,"&gt;0")),Weight!$A$2:$A$1000,0)),Settings!$B$6))</f>
        <v/>
      </c>
      <c r="I457" s="21">
        <f>IF(B457="","",IFERROR(INDEX(Settings!$B$10:$B$21,MATCH(B457,Settings!$A$10:$A$21,0)),4))</f>
        <v/>
      </c>
      <c r="J457" s="22">
        <f>IF(OR(A457="",C457="",I457=""),"",I457*H457*C457/60)</f>
        <v/>
      </c>
    </row>
    <row r="458">
      <c r="A458" s="35" t="n"/>
      <c r="B458" s="33" t="n"/>
      <c r="C458" s="31" t="n"/>
      <c r="D458" s="30" t="n"/>
      <c r="E458" s="33" t="n"/>
      <c r="F458" s="20">
        <f>IF(A458="","",WEEKNUM(A458,21))</f>
        <v/>
      </c>
      <c r="G458" s="21">
        <f>IF(OR(C458="",N(D458)=0),"",C458/D458)</f>
        <v/>
      </c>
      <c r="H458" s="21">
        <f>IF(A458="","",IFERROR(INDEX(Weight!$B$2:$B$1000,MATCH(IF(_xlfn.MAXIFS(Weight!$A$2:$A$1000,Weight!$A$2:$A$1000,"&lt;="&amp;A458)&gt;0,_xlfn.MAXIFS(Weight!$A$2:$A$1000,Weight!$A$2:$A$1000,"&lt;="&amp;A458),_xlfn.MINIFS(Weight!$A$2:$A$1000,Weight!$A$2:$A$1000,"&gt;0")),Weight!$A$2:$A$1000,0)),Settings!$B$6))</f>
        <v/>
      </c>
      <c r="I458" s="21">
        <f>IF(B458="","",IFERROR(INDEX(Settings!$B$10:$B$21,MATCH(B458,Settings!$A$10:$A$21,0)),4))</f>
        <v/>
      </c>
      <c r="J458" s="22">
        <f>IF(OR(A458="",C458="",I458=""),"",I458*H458*C458/60)</f>
        <v/>
      </c>
    </row>
    <row r="459">
      <c r="A459" s="35" t="n"/>
      <c r="B459" s="33" t="n"/>
      <c r="C459" s="31" t="n"/>
      <c r="D459" s="30" t="n"/>
      <c r="E459" s="33" t="n"/>
      <c r="F459" s="20">
        <f>IF(A459="","",WEEKNUM(A459,21))</f>
        <v/>
      </c>
      <c r="G459" s="21">
        <f>IF(OR(C459="",N(D459)=0),"",C459/D459)</f>
        <v/>
      </c>
      <c r="H459" s="21">
        <f>IF(A459="","",IFERROR(INDEX(Weight!$B$2:$B$1000,MATCH(IF(_xlfn.MAXIFS(Weight!$A$2:$A$1000,Weight!$A$2:$A$1000,"&lt;="&amp;A459)&gt;0,_xlfn.MAXIFS(Weight!$A$2:$A$1000,Weight!$A$2:$A$1000,"&lt;="&amp;A459),_xlfn.MINIFS(Weight!$A$2:$A$1000,Weight!$A$2:$A$1000,"&gt;0")),Weight!$A$2:$A$1000,0)),Settings!$B$6))</f>
        <v/>
      </c>
      <c r="I459" s="21">
        <f>IF(B459="","",IFERROR(INDEX(Settings!$B$10:$B$21,MATCH(B459,Settings!$A$10:$A$21,0)),4))</f>
        <v/>
      </c>
      <c r="J459" s="22">
        <f>IF(OR(A459="",C459="",I459=""),"",I459*H459*C459/60)</f>
        <v/>
      </c>
    </row>
    <row r="460">
      <c r="A460" s="35" t="n"/>
      <c r="B460" s="33" t="n"/>
      <c r="C460" s="31" t="n"/>
      <c r="D460" s="30" t="n"/>
      <c r="E460" s="33" t="n"/>
      <c r="F460" s="20">
        <f>IF(A460="","",WEEKNUM(A460,21))</f>
        <v/>
      </c>
      <c r="G460" s="21">
        <f>IF(OR(C460="",N(D460)=0),"",C460/D460)</f>
        <v/>
      </c>
      <c r="H460" s="21">
        <f>IF(A460="","",IFERROR(INDEX(Weight!$B$2:$B$1000,MATCH(IF(_xlfn.MAXIFS(Weight!$A$2:$A$1000,Weight!$A$2:$A$1000,"&lt;="&amp;A460)&gt;0,_xlfn.MAXIFS(Weight!$A$2:$A$1000,Weight!$A$2:$A$1000,"&lt;="&amp;A460),_xlfn.MINIFS(Weight!$A$2:$A$1000,Weight!$A$2:$A$1000,"&gt;0")),Weight!$A$2:$A$1000,0)),Settings!$B$6))</f>
        <v/>
      </c>
      <c r="I460" s="21">
        <f>IF(B460="","",IFERROR(INDEX(Settings!$B$10:$B$21,MATCH(B460,Settings!$A$10:$A$21,0)),4))</f>
        <v/>
      </c>
      <c r="J460" s="22">
        <f>IF(OR(A460="",C460="",I460=""),"",I460*H460*C460/60)</f>
        <v/>
      </c>
    </row>
    <row r="461">
      <c r="A461" s="35" t="n"/>
      <c r="B461" s="33" t="n"/>
      <c r="C461" s="31" t="n"/>
      <c r="D461" s="30" t="n"/>
      <c r="E461" s="33" t="n"/>
      <c r="F461" s="20">
        <f>IF(A461="","",WEEKNUM(A461,21))</f>
        <v/>
      </c>
      <c r="G461" s="21">
        <f>IF(OR(C461="",N(D461)=0),"",C461/D461)</f>
        <v/>
      </c>
      <c r="H461" s="21">
        <f>IF(A461="","",IFERROR(INDEX(Weight!$B$2:$B$1000,MATCH(IF(_xlfn.MAXIFS(Weight!$A$2:$A$1000,Weight!$A$2:$A$1000,"&lt;="&amp;A461)&gt;0,_xlfn.MAXIFS(Weight!$A$2:$A$1000,Weight!$A$2:$A$1000,"&lt;="&amp;A461),_xlfn.MINIFS(Weight!$A$2:$A$1000,Weight!$A$2:$A$1000,"&gt;0")),Weight!$A$2:$A$1000,0)),Settings!$B$6))</f>
        <v/>
      </c>
      <c r="I461" s="21">
        <f>IF(B461="","",IFERROR(INDEX(Settings!$B$10:$B$21,MATCH(B461,Settings!$A$10:$A$21,0)),4))</f>
        <v/>
      </c>
      <c r="J461" s="22">
        <f>IF(OR(A461="",C461="",I461=""),"",I461*H461*C461/60)</f>
        <v/>
      </c>
    </row>
    <row r="462">
      <c r="A462" s="35" t="n"/>
      <c r="B462" s="33" t="n"/>
      <c r="C462" s="31" t="n"/>
      <c r="D462" s="30" t="n"/>
      <c r="E462" s="33" t="n"/>
      <c r="F462" s="20">
        <f>IF(A462="","",WEEKNUM(A462,21))</f>
        <v/>
      </c>
      <c r="G462" s="21">
        <f>IF(OR(C462="",N(D462)=0),"",C462/D462)</f>
        <v/>
      </c>
      <c r="H462" s="21">
        <f>IF(A462="","",IFERROR(INDEX(Weight!$B$2:$B$1000,MATCH(IF(_xlfn.MAXIFS(Weight!$A$2:$A$1000,Weight!$A$2:$A$1000,"&lt;="&amp;A462)&gt;0,_xlfn.MAXIFS(Weight!$A$2:$A$1000,Weight!$A$2:$A$1000,"&lt;="&amp;A462),_xlfn.MINIFS(Weight!$A$2:$A$1000,Weight!$A$2:$A$1000,"&gt;0")),Weight!$A$2:$A$1000,0)),Settings!$B$6))</f>
        <v/>
      </c>
      <c r="I462" s="21">
        <f>IF(B462="","",IFERROR(INDEX(Settings!$B$10:$B$21,MATCH(B462,Settings!$A$10:$A$21,0)),4))</f>
        <v/>
      </c>
      <c r="J462" s="22">
        <f>IF(OR(A462="",C462="",I462=""),"",I462*H462*C462/60)</f>
        <v/>
      </c>
    </row>
    <row r="463">
      <c r="A463" s="35" t="n"/>
      <c r="B463" s="33" t="n"/>
      <c r="C463" s="31" t="n"/>
      <c r="D463" s="30" t="n"/>
      <c r="E463" s="33" t="n"/>
      <c r="F463" s="20">
        <f>IF(A463="","",WEEKNUM(A463,21))</f>
        <v/>
      </c>
      <c r="G463" s="21">
        <f>IF(OR(C463="",N(D463)=0),"",C463/D463)</f>
        <v/>
      </c>
      <c r="H463" s="21">
        <f>IF(A463="","",IFERROR(INDEX(Weight!$B$2:$B$1000,MATCH(IF(_xlfn.MAXIFS(Weight!$A$2:$A$1000,Weight!$A$2:$A$1000,"&lt;="&amp;A463)&gt;0,_xlfn.MAXIFS(Weight!$A$2:$A$1000,Weight!$A$2:$A$1000,"&lt;="&amp;A463),_xlfn.MINIFS(Weight!$A$2:$A$1000,Weight!$A$2:$A$1000,"&gt;0")),Weight!$A$2:$A$1000,0)),Settings!$B$6))</f>
        <v/>
      </c>
      <c r="I463" s="21">
        <f>IF(B463="","",IFERROR(INDEX(Settings!$B$10:$B$21,MATCH(B463,Settings!$A$10:$A$21,0)),4))</f>
        <v/>
      </c>
      <c r="J463" s="22">
        <f>IF(OR(A463="",C463="",I463=""),"",I463*H463*C463/60)</f>
        <v/>
      </c>
    </row>
    <row r="464">
      <c r="A464" s="35" t="n"/>
      <c r="B464" s="33" t="n"/>
      <c r="C464" s="31" t="n"/>
      <c r="D464" s="30" t="n"/>
      <c r="E464" s="33" t="n"/>
      <c r="F464" s="20">
        <f>IF(A464="","",WEEKNUM(A464,21))</f>
        <v/>
      </c>
      <c r="G464" s="21">
        <f>IF(OR(C464="",N(D464)=0),"",C464/D464)</f>
        <v/>
      </c>
      <c r="H464" s="21">
        <f>IF(A464="","",IFERROR(INDEX(Weight!$B$2:$B$1000,MATCH(IF(_xlfn.MAXIFS(Weight!$A$2:$A$1000,Weight!$A$2:$A$1000,"&lt;="&amp;A464)&gt;0,_xlfn.MAXIFS(Weight!$A$2:$A$1000,Weight!$A$2:$A$1000,"&lt;="&amp;A464),_xlfn.MINIFS(Weight!$A$2:$A$1000,Weight!$A$2:$A$1000,"&gt;0")),Weight!$A$2:$A$1000,0)),Settings!$B$6))</f>
        <v/>
      </c>
      <c r="I464" s="21">
        <f>IF(B464="","",IFERROR(INDEX(Settings!$B$10:$B$21,MATCH(B464,Settings!$A$10:$A$21,0)),4))</f>
        <v/>
      </c>
      <c r="J464" s="22">
        <f>IF(OR(A464="",C464="",I464=""),"",I464*H464*C464/60)</f>
        <v/>
      </c>
    </row>
    <row r="465">
      <c r="A465" s="35" t="n"/>
      <c r="B465" s="33" t="n"/>
      <c r="C465" s="31" t="n"/>
      <c r="D465" s="30" t="n"/>
      <c r="E465" s="33" t="n"/>
      <c r="F465" s="20">
        <f>IF(A465="","",WEEKNUM(A465,21))</f>
        <v/>
      </c>
      <c r="G465" s="21">
        <f>IF(OR(C465="",N(D465)=0),"",C465/D465)</f>
        <v/>
      </c>
      <c r="H465" s="21">
        <f>IF(A465="","",IFERROR(INDEX(Weight!$B$2:$B$1000,MATCH(IF(_xlfn.MAXIFS(Weight!$A$2:$A$1000,Weight!$A$2:$A$1000,"&lt;="&amp;A465)&gt;0,_xlfn.MAXIFS(Weight!$A$2:$A$1000,Weight!$A$2:$A$1000,"&lt;="&amp;A465),_xlfn.MINIFS(Weight!$A$2:$A$1000,Weight!$A$2:$A$1000,"&gt;0")),Weight!$A$2:$A$1000,0)),Settings!$B$6))</f>
        <v/>
      </c>
      <c r="I465" s="21">
        <f>IF(B465="","",IFERROR(INDEX(Settings!$B$10:$B$21,MATCH(B465,Settings!$A$10:$A$21,0)),4))</f>
        <v/>
      </c>
      <c r="J465" s="22">
        <f>IF(OR(A465="",C465="",I465=""),"",I465*H465*C465/60)</f>
        <v/>
      </c>
    </row>
    <row r="466">
      <c r="A466" s="35" t="n"/>
      <c r="B466" s="33" t="n"/>
      <c r="C466" s="31" t="n"/>
      <c r="D466" s="30" t="n"/>
      <c r="E466" s="33" t="n"/>
      <c r="F466" s="20">
        <f>IF(A466="","",WEEKNUM(A466,21))</f>
        <v/>
      </c>
      <c r="G466" s="21">
        <f>IF(OR(C466="",N(D466)=0),"",C466/D466)</f>
        <v/>
      </c>
      <c r="H466" s="21">
        <f>IF(A466="","",IFERROR(INDEX(Weight!$B$2:$B$1000,MATCH(IF(_xlfn.MAXIFS(Weight!$A$2:$A$1000,Weight!$A$2:$A$1000,"&lt;="&amp;A466)&gt;0,_xlfn.MAXIFS(Weight!$A$2:$A$1000,Weight!$A$2:$A$1000,"&lt;="&amp;A466),_xlfn.MINIFS(Weight!$A$2:$A$1000,Weight!$A$2:$A$1000,"&gt;0")),Weight!$A$2:$A$1000,0)),Settings!$B$6))</f>
        <v/>
      </c>
      <c r="I466" s="21">
        <f>IF(B466="","",IFERROR(INDEX(Settings!$B$10:$B$21,MATCH(B466,Settings!$A$10:$A$21,0)),4))</f>
        <v/>
      </c>
      <c r="J466" s="22">
        <f>IF(OR(A466="",C466="",I466=""),"",I466*H466*C466/60)</f>
        <v/>
      </c>
    </row>
    <row r="467">
      <c r="A467" s="35" t="n"/>
      <c r="B467" s="33" t="n"/>
      <c r="C467" s="31" t="n"/>
      <c r="D467" s="30" t="n"/>
      <c r="E467" s="33" t="n"/>
      <c r="F467" s="20">
        <f>IF(A467="","",WEEKNUM(A467,21))</f>
        <v/>
      </c>
      <c r="G467" s="21">
        <f>IF(OR(C467="",N(D467)=0),"",C467/D467)</f>
        <v/>
      </c>
      <c r="H467" s="21">
        <f>IF(A467="","",IFERROR(INDEX(Weight!$B$2:$B$1000,MATCH(IF(_xlfn.MAXIFS(Weight!$A$2:$A$1000,Weight!$A$2:$A$1000,"&lt;="&amp;A467)&gt;0,_xlfn.MAXIFS(Weight!$A$2:$A$1000,Weight!$A$2:$A$1000,"&lt;="&amp;A467),_xlfn.MINIFS(Weight!$A$2:$A$1000,Weight!$A$2:$A$1000,"&gt;0")),Weight!$A$2:$A$1000,0)),Settings!$B$6))</f>
        <v/>
      </c>
      <c r="I467" s="21">
        <f>IF(B467="","",IFERROR(INDEX(Settings!$B$10:$B$21,MATCH(B467,Settings!$A$10:$A$21,0)),4))</f>
        <v/>
      </c>
      <c r="J467" s="22">
        <f>IF(OR(A467="",C467="",I467=""),"",I467*H467*C467/60)</f>
        <v/>
      </c>
    </row>
    <row r="468">
      <c r="A468" s="35" t="n"/>
      <c r="B468" s="33" t="n"/>
      <c r="C468" s="31" t="n"/>
      <c r="D468" s="30" t="n"/>
      <c r="E468" s="33" t="n"/>
      <c r="F468" s="20">
        <f>IF(A468="","",WEEKNUM(A468,21))</f>
        <v/>
      </c>
      <c r="G468" s="21">
        <f>IF(OR(C468="",N(D468)=0),"",C468/D468)</f>
        <v/>
      </c>
      <c r="H468" s="21">
        <f>IF(A468="","",IFERROR(INDEX(Weight!$B$2:$B$1000,MATCH(IF(_xlfn.MAXIFS(Weight!$A$2:$A$1000,Weight!$A$2:$A$1000,"&lt;="&amp;A468)&gt;0,_xlfn.MAXIFS(Weight!$A$2:$A$1000,Weight!$A$2:$A$1000,"&lt;="&amp;A468),_xlfn.MINIFS(Weight!$A$2:$A$1000,Weight!$A$2:$A$1000,"&gt;0")),Weight!$A$2:$A$1000,0)),Settings!$B$6))</f>
        <v/>
      </c>
      <c r="I468" s="21">
        <f>IF(B468="","",IFERROR(INDEX(Settings!$B$10:$B$21,MATCH(B468,Settings!$A$10:$A$21,0)),4))</f>
        <v/>
      </c>
      <c r="J468" s="22">
        <f>IF(OR(A468="",C468="",I468=""),"",I468*H468*C468/60)</f>
        <v/>
      </c>
    </row>
    <row r="469">
      <c r="A469" s="35" t="n"/>
      <c r="B469" s="33" t="n"/>
      <c r="C469" s="31" t="n"/>
      <c r="D469" s="30" t="n"/>
      <c r="E469" s="33" t="n"/>
      <c r="F469" s="20">
        <f>IF(A469="","",WEEKNUM(A469,21))</f>
        <v/>
      </c>
      <c r="G469" s="21">
        <f>IF(OR(C469="",N(D469)=0),"",C469/D469)</f>
        <v/>
      </c>
      <c r="H469" s="21">
        <f>IF(A469="","",IFERROR(INDEX(Weight!$B$2:$B$1000,MATCH(IF(_xlfn.MAXIFS(Weight!$A$2:$A$1000,Weight!$A$2:$A$1000,"&lt;="&amp;A469)&gt;0,_xlfn.MAXIFS(Weight!$A$2:$A$1000,Weight!$A$2:$A$1000,"&lt;="&amp;A469),_xlfn.MINIFS(Weight!$A$2:$A$1000,Weight!$A$2:$A$1000,"&gt;0")),Weight!$A$2:$A$1000,0)),Settings!$B$6))</f>
        <v/>
      </c>
      <c r="I469" s="21">
        <f>IF(B469="","",IFERROR(INDEX(Settings!$B$10:$B$21,MATCH(B469,Settings!$A$10:$A$21,0)),4))</f>
        <v/>
      </c>
      <c r="J469" s="22">
        <f>IF(OR(A469="",C469="",I469=""),"",I469*H469*C469/60)</f>
        <v/>
      </c>
    </row>
    <row r="470">
      <c r="A470" s="35" t="n"/>
      <c r="B470" s="33" t="n"/>
      <c r="C470" s="31" t="n"/>
      <c r="D470" s="30" t="n"/>
      <c r="E470" s="33" t="n"/>
      <c r="F470" s="20">
        <f>IF(A470="","",WEEKNUM(A470,21))</f>
        <v/>
      </c>
      <c r="G470" s="21">
        <f>IF(OR(C470="",N(D470)=0),"",C470/D470)</f>
        <v/>
      </c>
      <c r="H470" s="21">
        <f>IF(A470="","",IFERROR(INDEX(Weight!$B$2:$B$1000,MATCH(IF(_xlfn.MAXIFS(Weight!$A$2:$A$1000,Weight!$A$2:$A$1000,"&lt;="&amp;A470)&gt;0,_xlfn.MAXIFS(Weight!$A$2:$A$1000,Weight!$A$2:$A$1000,"&lt;="&amp;A470),_xlfn.MINIFS(Weight!$A$2:$A$1000,Weight!$A$2:$A$1000,"&gt;0")),Weight!$A$2:$A$1000,0)),Settings!$B$6))</f>
        <v/>
      </c>
      <c r="I470" s="21">
        <f>IF(B470="","",IFERROR(INDEX(Settings!$B$10:$B$21,MATCH(B470,Settings!$A$10:$A$21,0)),4))</f>
        <v/>
      </c>
      <c r="J470" s="22">
        <f>IF(OR(A470="",C470="",I470=""),"",I470*H470*C470/60)</f>
        <v/>
      </c>
    </row>
    <row r="471">
      <c r="A471" s="35" t="n"/>
      <c r="B471" s="33" t="n"/>
      <c r="C471" s="31" t="n"/>
      <c r="D471" s="30" t="n"/>
      <c r="E471" s="33" t="n"/>
      <c r="F471" s="20">
        <f>IF(A471="","",WEEKNUM(A471,21))</f>
        <v/>
      </c>
      <c r="G471" s="21">
        <f>IF(OR(C471="",N(D471)=0),"",C471/D471)</f>
        <v/>
      </c>
      <c r="H471" s="21">
        <f>IF(A471="","",IFERROR(INDEX(Weight!$B$2:$B$1000,MATCH(IF(_xlfn.MAXIFS(Weight!$A$2:$A$1000,Weight!$A$2:$A$1000,"&lt;="&amp;A471)&gt;0,_xlfn.MAXIFS(Weight!$A$2:$A$1000,Weight!$A$2:$A$1000,"&lt;="&amp;A471),_xlfn.MINIFS(Weight!$A$2:$A$1000,Weight!$A$2:$A$1000,"&gt;0")),Weight!$A$2:$A$1000,0)),Settings!$B$6))</f>
        <v/>
      </c>
      <c r="I471" s="21">
        <f>IF(B471="","",IFERROR(INDEX(Settings!$B$10:$B$21,MATCH(B471,Settings!$A$10:$A$21,0)),4))</f>
        <v/>
      </c>
      <c r="J471" s="22">
        <f>IF(OR(A471="",C471="",I471=""),"",I471*H471*C471/60)</f>
        <v/>
      </c>
    </row>
    <row r="472">
      <c r="A472" s="35" t="n"/>
      <c r="B472" s="33" t="n"/>
      <c r="C472" s="31" t="n"/>
      <c r="D472" s="30" t="n"/>
      <c r="E472" s="33" t="n"/>
      <c r="F472" s="20">
        <f>IF(A472="","",WEEKNUM(A472,21))</f>
        <v/>
      </c>
      <c r="G472" s="21">
        <f>IF(OR(C472="",N(D472)=0),"",C472/D472)</f>
        <v/>
      </c>
      <c r="H472" s="21">
        <f>IF(A472="","",IFERROR(INDEX(Weight!$B$2:$B$1000,MATCH(IF(_xlfn.MAXIFS(Weight!$A$2:$A$1000,Weight!$A$2:$A$1000,"&lt;="&amp;A472)&gt;0,_xlfn.MAXIFS(Weight!$A$2:$A$1000,Weight!$A$2:$A$1000,"&lt;="&amp;A472),_xlfn.MINIFS(Weight!$A$2:$A$1000,Weight!$A$2:$A$1000,"&gt;0")),Weight!$A$2:$A$1000,0)),Settings!$B$6))</f>
        <v/>
      </c>
      <c r="I472" s="21">
        <f>IF(B472="","",IFERROR(INDEX(Settings!$B$10:$B$21,MATCH(B472,Settings!$A$10:$A$21,0)),4))</f>
        <v/>
      </c>
      <c r="J472" s="22">
        <f>IF(OR(A472="",C472="",I472=""),"",I472*H472*C472/60)</f>
        <v/>
      </c>
    </row>
    <row r="473">
      <c r="A473" s="35" t="n"/>
      <c r="B473" s="33" t="n"/>
      <c r="C473" s="31" t="n"/>
      <c r="D473" s="30" t="n"/>
      <c r="E473" s="33" t="n"/>
      <c r="F473" s="20">
        <f>IF(A473="","",WEEKNUM(A473,21))</f>
        <v/>
      </c>
      <c r="G473" s="21">
        <f>IF(OR(C473="",N(D473)=0),"",C473/D473)</f>
        <v/>
      </c>
      <c r="H473" s="21">
        <f>IF(A473="","",IFERROR(INDEX(Weight!$B$2:$B$1000,MATCH(IF(_xlfn.MAXIFS(Weight!$A$2:$A$1000,Weight!$A$2:$A$1000,"&lt;="&amp;A473)&gt;0,_xlfn.MAXIFS(Weight!$A$2:$A$1000,Weight!$A$2:$A$1000,"&lt;="&amp;A473),_xlfn.MINIFS(Weight!$A$2:$A$1000,Weight!$A$2:$A$1000,"&gt;0")),Weight!$A$2:$A$1000,0)),Settings!$B$6))</f>
        <v/>
      </c>
      <c r="I473" s="21">
        <f>IF(B473="","",IFERROR(INDEX(Settings!$B$10:$B$21,MATCH(B473,Settings!$A$10:$A$21,0)),4))</f>
        <v/>
      </c>
      <c r="J473" s="22">
        <f>IF(OR(A473="",C473="",I473=""),"",I473*H473*C473/60)</f>
        <v/>
      </c>
    </row>
    <row r="474">
      <c r="A474" s="35" t="n"/>
      <c r="B474" s="33" t="n"/>
      <c r="C474" s="31" t="n"/>
      <c r="D474" s="30" t="n"/>
      <c r="E474" s="33" t="n"/>
      <c r="F474" s="20">
        <f>IF(A474="","",WEEKNUM(A474,21))</f>
        <v/>
      </c>
      <c r="G474" s="21">
        <f>IF(OR(C474="",N(D474)=0),"",C474/D474)</f>
        <v/>
      </c>
      <c r="H474" s="21">
        <f>IF(A474="","",IFERROR(INDEX(Weight!$B$2:$B$1000,MATCH(IF(_xlfn.MAXIFS(Weight!$A$2:$A$1000,Weight!$A$2:$A$1000,"&lt;="&amp;A474)&gt;0,_xlfn.MAXIFS(Weight!$A$2:$A$1000,Weight!$A$2:$A$1000,"&lt;="&amp;A474),_xlfn.MINIFS(Weight!$A$2:$A$1000,Weight!$A$2:$A$1000,"&gt;0")),Weight!$A$2:$A$1000,0)),Settings!$B$6))</f>
        <v/>
      </c>
      <c r="I474" s="21">
        <f>IF(B474="","",IFERROR(INDEX(Settings!$B$10:$B$21,MATCH(B474,Settings!$A$10:$A$21,0)),4))</f>
        <v/>
      </c>
      <c r="J474" s="22">
        <f>IF(OR(A474="",C474="",I474=""),"",I474*H474*C474/60)</f>
        <v/>
      </c>
    </row>
    <row r="475">
      <c r="A475" s="35" t="n"/>
      <c r="B475" s="33" t="n"/>
      <c r="C475" s="31" t="n"/>
      <c r="D475" s="30" t="n"/>
      <c r="E475" s="33" t="n"/>
      <c r="F475" s="20">
        <f>IF(A475="","",WEEKNUM(A475,21))</f>
        <v/>
      </c>
      <c r="G475" s="21">
        <f>IF(OR(C475="",N(D475)=0),"",C475/D475)</f>
        <v/>
      </c>
      <c r="H475" s="21">
        <f>IF(A475="","",IFERROR(INDEX(Weight!$B$2:$B$1000,MATCH(IF(_xlfn.MAXIFS(Weight!$A$2:$A$1000,Weight!$A$2:$A$1000,"&lt;="&amp;A475)&gt;0,_xlfn.MAXIFS(Weight!$A$2:$A$1000,Weight!$A$2:$A$1000,"&lt;="&amp;A475),_xlfn.MINIFS(Weight!$A$2:$A$1000,Weight!$A$2:$A$1000,"&gt;0")),Weight!$A$2:$A$1000,0)),Settings!$B$6))</f>
        <v/>
      </c>
      <c r="I475" s="21">
        <f>IF(B475="","",IFERROR(INDEX(Settings!$B$10:$B$21,MATCH(B475,Settings!$A$10:$A$21,0)),4))</f>
        <v/>
      </c>
      <c r="J475" s="22">
        <f>IF(OR(A475="",C475="",I475=""),"",I475*H475*C475/60)</f>
        <v/>
      </c>
    </row>
    <row r="476">
      <c r="A476" s="35" t="n"/>
      <c r="B476" s="33" t="n"/>
      <c r="C476" s="31" t="n"/>
      <c r="D476" s="30" t="n"/>
      <c r="E476" s="33" t="n"/>
      <c r="F476" s="20">
        <f>IF(A476="","",WEEKNUM(A476,21))</f>
        <v/>
      </c>
      <c r="G476" s="21">
        <f>IF(OR(C476="",N(D476)=0),"",C476/D476)</f>
        <v/>
      </c>
      <c r="H476" s="21">
        <f>IF(A476="","",IFERROR(INDEX(Weight!$B$2:$B$1000,MATCH(IF(_xlfn.MAXIFS(Weight!$A$2:$A$1000,Weight!$A$2:$A$1000,"&lt;="&amp;A476)&gt;0,_xlfn.MAXIFS(Weight!$A$2:$A$1000,Weight!$A$2:$A$1000,"&lt;="&amp;A476),_xlfn.MINIFS(Weight!$A$2:$A$1000,Weight!$A$2:$A$1000,"&gt;0")),Weight!$A$2:$A$1000,0)),Settings!$B$6))</f>
        <v/>
      </c>
      <c r="I476" s="21">
        <f>IF(B476="","",IFERROR(INDEX(Settings!$B$10:$B$21,MATCH(B476,Settings!$A$10:$A$21,0)),4))</f>
        <v/>
      </c>
      <c r="J476" s="22">
        <f>IF(OR(A476="",C476="",I476=""),"",I476*H476*C476/60)</f>
        <v/>
      </c>
    </row>
    <row r="477">
      <c r="A477" s="35" t="n"/>
      <c r="B477" s="33" t="n"/>
      <c r="C477" s="31" t="n"/>
      <c r="D477" s="30" t="n"/>
      <c r="E477" s="33" t="n"/>
      <c r="F477" s="20">
        <f>IF(A477="","",WEEKNUM(A477,21))</f>
        <v/>
      </c>
      <c r="G477" s="21">
        <f>IF(OR(C477="",N(D477)=0),"",C477/D477)</f>
        <v/>
      </c>
      <c r="H477" s="21">
        <f>IF(A477="","",IFERROR(INDEX(Weight!$B$2:$B$1000,MATCH(IF(_xlfn.MAXIFS(Weight!$A$2:$A$1000,Weight!$A$2:$A$1000,"&lt;="&amp;A477)&gt;0,_xlfn.MAXIFS(Weight!$A$2:$A$1000,Weight!$A$2:$A$1000,"&lt;="&amp;A477),_xlfn.MINIFS(Weight!$A$2:$A$1000,Weight!$A$2:$A$1000,"&gt;0")),Weight!$A$2:$A$1000,0)),Settings!$B$6))</f>
        <v/>
      </c>
      <c r="I477" s="21">
        <f>IF(B477="","",IFERROR(INDEX(Settings!$B$10:$B$21,MATCH(B477,Settings!$A$10:$A$21,0)),4))</f>
        <v/>
      </c>
      <c r="J477" s="22">
        <f>IF(OR(A477="",C477="",I477=""),"",I477*H477*C477/60)</f>
        <v/>
      </c>
    </row>
    <row r="478">
      <c r="A478" s="35" t="n"/>
      <c r="B478" s="33" t="n"/>
      <c r="C478" s="31" t="n"/>
      <c r="D478" s="30" t="n"/>
      <c r="E478" s="33" t="n"/>
      <c r="F478" s="20">
        <f>IF(A478="","",WEEKNUM(A478,21))</f>
        <v/>
      </c>
      <c r="G478" s="21">
        <f>IF(OR(C478="",N(D478)=0),"",C478/D478)</f>
        <v/>
      </c>
      <c r="H478" s="21">
        <f>IF(A478="","",IFERROR(INDEX(Weight!$B$2:$B$1000,MATCH(IF(_xlfn.MAXIFS(Weight!$A$2:$A$1000,Weight!$A$2:$A$1000,"&lt;="&amp;A478)&gt;0,_xlfn.MAXIFS(Weight!$A$2:$A$1000,Weight!$A$2:$A$1000,"&lt;="&amp;A478),_xlfn.MINIFS(Weight!$A$2:$A$1000,Weight!$A$2:$A$1000,"&gt;0")),Weight!$A$2:$A$1000,0)),Settings!$B$6))</f>
        <v/>
      </c>
      <c r="I478" s="21">
        <f>IF(B478="","",IFERROR(INDEX(Settings!$B$10:$B$21,MATCH(B478,Settings!$A$10:$A$21,0)),4))</f>
        <v/>
      </c>
      <c r="J478" s="22">
        <f>IF(OR(A478="",C478="",I478=""),"",I478*H478*C478/60)</f>
        <v/>
      </c>
    </row>
    <row r="479">
      <c r="A479" s="35" t="n"/>
      <c r="B479" s="33" t="n"/>
      <c r="C479" s="31" t="n"/>
      <c r="D479" s="30" t="n"/>
      <c r="E479" s="33" t="n"/>
      <c r="F479" s="20">
        <f>IF(A479="","",WEEKNUM(A479,21))</f>
        <v/>
      </c>
      <c r="G479" s="21">
        <f>IF(OR(C479="",N(D479)=0),"",C479/D479)</f>
        <v/>
      </c>
      <c r="H479" s="21">
        <f>IF(A479="","",IFERROR(INDEX(Weight!$B$2:$B$1000,MATCH(IF(_xlfn.MAXIFS(Weight!$A$2:$A$1000,Weight!$A$2:$A$1000,"&lt;="&amp;A479)&gt;0,_xlfn.MAXIFS(Weight!$A$2:$A$1000,Weight!$A$2:$A$1000,"&lt;="&amp;A479),_xlfn.MINIFS(Weight!$A$2:$A$1000,Weight!$A$2:$A$1000,"&gt;0")),Weight!$A$2:$A$1000,0)),Settings!$B$6))</f>
        <v/>
      </c>
      <c r="I479" s="21">
        <f>IF(B479="","",IFERROR(INDEX(Settings!$B$10:$B$21,MATCH(B479,Settings!$A$10:$A$21,0)),4))</f>
        <v/>
      </c>
      <c r="J479" s="22">
        <f>IF(OR(A479="",C479="",I479=""),"",I479*H479*C479/60)</f>
        <v/>
      </c>
    </row>
    <row r="480">
      <c r="A480" s="35" t="n"/>
      <c r="B480" s="33" t="n"/>
      <c r="C480" s="31" t="n"/>
      <c r="D480" s="30" t="n"/>
      <c r="E480" s="33" t="n"/>
      <c r="F480" s="20">
        <f>IF(A480="","",WEEKNUM(A480,21))</f>
        <v/>
      </c>
      <c r="G480" s="21">
        <f>IF(OR(C480="",N(D480)=0),"",C480/D480)</f>
        <v/>
      </c>
      <c r="H480" s="21">
        <f>IF(A480="","",IFERROR(INDEX(Weight!$B$2:$B$1000,MATCH(IF(_xlfn.MAXIFS(Weight!$A$2:$A$1000,Weight!$A$2:$A$1000,"&lt;="&amp;A480)&gt;0,_xlfn.MAXIFS(Weight!$A$2:$A$1000,Weight!$A$2:$A$1000,"&lt;="&amp;A480),_xlfn.MINIFS(Weight!$A$2:$A$1000,Weight!$A$2:$A$1000,"&gt;0")),Weight!$A$2:$A$1000,0)),Settings!$B$6))</f>
        <v/>
      </c>
      <c r="I480" s="21">
        <f>IF(B480="","",IFERROR(INDEX(Settings!$B$10:$B$21,MATCH(B480,Settings!$A$10:$A$21,0)),4))</f>
        <v/>
      </c>
      <c r="J480" s="22">
        <f>IF(OR(A480="",C480="",I480=""),"",I480*H480*C480/60)</f>
        <v/>
      </c>
    </row>
    <row r="481">
      <c r="A481" s="35" t="n"/>
      <c r="B481" s="33" t="n"/>
      <c r="C481" s="31" t="n"/>
      <c r="D481" s="30" t="n"/>
      <c r="E481" s="33" t="n"/>
      <c r="F481" s="20">
        <f>IF(A481="","",WEEKNUM(A481,21))</f>
        <v/>
      </c>
      <c r="G481" s="21">
        <f>IF(OR(C481="",N(D481)=0),"",C481/D481)</f>
        <v/>
      </c>
      <c r="H481" s="21">
        <f>IF(A481="","",IFERROR(INDEX(Weight!$B$2:$B$1000,MATCH(IF(_xlfn.MAXIFS(Weight!$A$2:$A$1000,Weight!$A$2:$A$1000,"&lt;="&amp;A481)&gt;0,_xlfn.MAXIFS(Weight!$A$2:$A$1000,Weight!$A$2:$A$1000,"&lt;="&amp;A481),_xlfn.MINIFS(Weight!$A$2:$A$1000,Weight!$A$2:$A$1000,"&gt;0")),Weight!$A$2:$A$1000,0)),Settings!$B$6))</f>
        <v/>
      </c>
      <c r="I481" s="21">
        <f>IF(B481="","",IFERROR(INDEX(Settings!$B$10:$B$21,MATCH(B481,Settings!$A$10:$A$21,0)),4))</f>
        <v/>
      </c>
      <c r="J481" s="22">
        <f>IF(OR(A481="",C481="",I481=""),"",I481*H481*C481/60)</f>
        <v/>
      </c>
    </row>
    <row r="482">
      <c r="A482" s="35" t="n"/>
      <c r="B482" s="33" t="n"/>
      <c r="C482" s="31" t="n"/>
      <c r="D482" s="30" t="n"/>
      <c r="E482" s="33" t="n"/>
      <c r="F482" s="20">
        <f>IF(A482="","",WEEKNUM(A482,21))</f>
        <v/>
      </c>
      <c r="G482" s="21">
        <f>IF(OR(C482="",N(D482)=0),"",C482/D482)</f>
        <v/>
      </c>
      <c r="H482" s="21">
        <f>IF(A482="","",IFERROR(INDEX(Weight!$B$2:$B$1000,MATCH(IF(_xlfn.MAXIFS(Weight!$A$2:$A$1000,Weight!$A$2:$A$1000,"&lt;="&amp;A482)&gt;0,_xlfn.MAXIFS(Weight!$A$2:$A$1000,Weight!$A$2:$A$1000,"&lt;="&amp;A482),_xlfn.MINIFS(Weight!$A$2:$A$1000,Weight!$A$2:$A$1000,"&gt;0")),Weight!$A$2:$A$1000,0)),Settings!$B$6))</f>
        <v/>
      </c>
      <c r="I482" s="21">
        <f>IF(B482="","",IFERROR(INDEX(Settings!$B$10:$B$21,MATCH(B482,Settings!$A$10:$A$21,0)),4))</f>
        <v/>
      </c>
      <c r="J482" s="22">
        <f>IF(OR(A482="",C482="",I482=""),"",I482*H482*C482/60)</f>
        <v/>
      </c>
    </row>
    <row r="483">
      <c r="A483" s="35" t="n"/>
      <c r="B483" s="33" t="n"/>
      <c r="C483" s="31" t="n"/>
      <c r="D483" s="30" t="n"/>
      <c r="E483" s="33" t="n"/>
      <c r="F483" s="20">
        <f>IF(A483="","",WEEKNUM(A483,21))</f>
        <v/>
      </c>
      <c r="G483" s="21">
        <f>IF(OR(C483="",N(D483)=0),"",C483/D483)</f>
        <v/>
      </c>
      <c r="H483" s="21">
        <f>IF(A483="","",IFERROR(INDEX(Weight!$B$2:$B$1000,MATCH(IF(_xlfn.MAXIFS(Weight!$A$2:$A$1000,Weight!$A$2:$A$1000,"&lt;="&amp;A483)&gt;0,_xlfn.MAXIFS(Weight!$A$2:$A$1000,Weight!$A$2:$A$1000,"&lt;="&amp;A483),_xlfn.MINIFS(Weight!$A$2:$A$1000,Weight!$A$2:$A$1000,"&gt;0")),Weight!$A$2:$A$1000,0)),Settings!$B$6))</f>
        <v/>
      </c>
      <c r="I483" s="21">
        <f>IF(B483="","",IFERROR(INDEX(Settings!$B$10:$B$21,MATCH(B483,Settings!$A$10:$A$21,0)),4))</f>
        <v/>
      </c>
      <c r="J483" s="22">
        <f>IF(OR(A483="",C483="",I483=""),"",I483*H483*C483/60)</f>
        <v/>
      </c>
    </row>
    <row r="484">
      <c r="A484" s="35" t="n"/>
      <c r="B484" s="33" t="n"/>
      <c r="C484" s="31" t="n"/>
      <c r="D484" s="30" t="n"/>
      <c r="E484" s="33" t="n"/>
      <c r="F484" s="20">
        <f>IF(A484="","",WEEKNUM(A484,21))</f>
        <v/>
      </c>
      <c r="G484" s="21">
        <f>IF(OR(C484="",N(D484)=0),"",C484/D484)</f>
        <v/>
      </c>
      <c r="H484" s="21">
        <f>IF(A484="","",IFERROR(INDEX(Weight!$B$2:$B$1000,MATCH(IF(_xlfn.MAXIFS(Weight!$A$2:$A$1000,Weight!$A$2:$A$1000,"&lt;="&amp;A484)&gt;0,_xlfn.MAXIFS(Weight!$A$2:$A$1000,Weight!$A$2:$A$1000,"&lt;="&amp;A484),_xlfn.MINIFS(Weight!$A$2:$A$1000,Weight!$A$2:$A$1000,"&gt;0")),Weight!$A$2:$A$1000,0)),Settings!$B$6))</f>
        <v/>
      </c>
      <c r="I484" s="21">
        <f>IF(B484="","",IFERROR(INDEX(Settings!$B$10:$B$21,MATCH(B484,Settings!$A$10:$A$21,0)),4))</f>
        <v/>
      </c>
      <c r="J484" s="22">
        <f>IF(OR(A484="",C484="",I484=""),"",I484*H484*C484/60)</f>
        <v/>
      </c>
    </row>
    <row r="485">
      <c r="A485" s="35" t="n"/>
      <c r="B485" s="33" t="n"/>
      <c r="C485" s="31" t="n"/>
      <c r="D485" s="30" t="n"/>
      <c r="E485" s="33" t="n"/>
      <c r="F485" s="20">
        <f>IF(A485="","",WEEKNUM(A485,21))</f>
        <v/>
      </c>
      <c r="G485" s="21">
        <f>IF(OR(C485="",N(D485)=0),"",C485/D485)</f>
        <v/>
      </c>
      <c r="H485" s="21">
        <f>IF(A485="","",IFERROR(INDEX(Weight!$B$2:$B$1000,MATCH(IF(_xlfn.MAXIFS(Weight!$A$2:$A$1000,Weight!$A$2:$A$1000,"&lt;="&amp;A485)&gt;0,_xlfn.MAXIFS(Weight!$A$2:$A$1000,Weight!$A$2:$A$1000,"&lt;="&amp;A485),_xlfn.MINIFS(Weight!$A$2:$A$1000,Weight!$A$2:$A$1000,"&gt;0")),Weight!$A$2:$A$1000,0)),Settings!$B$6))</f>
        <v/>
      </c>
      <c r="I485" s="21">
        <f>IF(B485="","",IFERROR(INDEX(Settings!$B$10:$B$21,MATCH(B485,Settings!$A$10:$A$21,0)),4))</f>
        <v/>
      </c>
      <c r="J485" s="22">
        <f>IF(OR(A485="",C485="",I485=""),"",I485*H485*C485/60)</f>
        <v/>
      </c>
    </row>
    <row r="486">
      <c r="A486" s="35" t="n"/>
      <c r="B486" s="33" t="n"/>
      <c r="C486" s="31" t="n"/>
      <c r="D486" s="30" t="n"/>
      <c r="E486" s="33" t="n"/>
      <c r="F486" s="20">
        <f>IF(A486="","",WEEKNUM(A486,21))</f>
        <v/>
      </c>
      <c r="G486" s="21">
        <f>IF(OR(C486="",N(D486)=0),"",C486/D486)</f>
        <v/>
      </c>
      <c r="H486" s="21">
        <f>IF(A486="","",IFERROR(INDEX(Weight!$B$2:$B$1000,MATCH(IF(_xlfn.MAXIFS(Weight!$A$2:$A$1000,Weight!$A$2:$A$1000,"&lt;="&amp;A486)&gt;0,_xlfn.MAXIFS(Weight!$A$2:$A$1000,Weight!$A$2:$A$1000,"&lt;="&amp;A486),_xlfn.MINIFS(Weight!$A$2:$A$1000,Weight!$A$2:$A$1000,"&gt;0")),Weight!$A$2:$A$1000,0)),Settings!$B$6))</f>
        <v/>
      </c>
      <c r="I486" s="21">
        <f>IF(B486="","",IFERROR(INDEX(Settings!$B$10:$B$21,MATCH(B486,Settings!$A$10:$A$21,0)),4))</f>
        <v/>
      </c>
      <c r="J486" s="22">
        <f>IF(OR(A486="",C486="",I486=""),"",I486*H486*C486/60)</f>
        <v/>
      </c>
    </row>
    <row r="487">
      <c r="A487" s="35" t="n"/>
      <c r="B487" s="33" t="n"/>
      <c r="C487" s="31" t="n"/>
      <c r="D487" s="30" t="n"/>
      <c r="E487" s="33" t="n"/>
      <c r="F487" s="20">
        <f>IF(A487="","",WEEKNUM(A487,21))</f>
        <v/>
      </c>
      <c r="G487" s="21">
        <f>IF(OR(C487="",N(D487)=0),"",C487/D487)</f>
        <v/>
      </c>
      <c r="H487" s="21">
        <f>IF(A487="","",IFERROR(INDEX(Weight!$B$2:$B$1000,MATCH(IF(_xlfn.MAXIFS(Weight!$A$2:$A$1000,Weight!$A$2:$A$1000,"&lt;="&amp;A487)&gt;0,_xlfn.MAXIFS(Weight!$A$2:$A$1000,Weight!$A$2:$A$1000,"&lt;="&amp;A487),_xlfn.MINIFS(Weight!$A$2:$A$1000,Weight!$A$2:$A$1000,"&gt;0")),Weight!$A$2:$A$1000,0)),Settings!$B$6))</f>
        <v/>
      </c>
      <c r="I487" s="21">
        <f>IF(B487="","",IFERROR(INDEX(Settings!$B$10:$B$21,MATCH(B487,Settings!$A$10:$A$21,0)),4))</f>
        <v/>
      </c>
      <c r="J487" s="22">
        <f>IF(OR(A487="",C487="",I487=""),"",I487*H487*C487/60)</f>
        <v/>
      </c>
    </row>
    <row r="488">
      <c r="A488" s="35" t="n"/>
      <c r="B488" s="33" t="n"/>
      <c r="C488" s="31" t="n"/>
      <c r="D488" s="30" t="n"/>
      <c r="E488" s="33" t="n"/>
      <c r="F488" s="20">
        <f>IF(A488="","",WEEKNUM(A488,21))</f>
        <v/>
      </c>
      <c r="G488" s="21">
        <f>IF(OR(C488="",N(D488)=0),"",C488/D488)</f>
        <v/>
      </c>
      <c r="H488" s="21">
        <f>IF(A488="","",IFERROR(INDEX(Weight!$B$2:$B$1000,MATCH(IF(_xlfn.MAXIFS(Weight!$A$2:$A$1000,Weight!$A$2:$A$1000,"&lt;="&amp;A488)&gt;0,_xlfn.MAXIFS(Weight!$A$2:$A$1000,Weight!$A$2:$A$1000,"&lt;="&amp;A488),_xlfn.MINIFS(Weight!$A$2:$A$1000,Weight!$A$2:$A$1000,"&gt;0")),Weight!$A$2:$A$1000,0)),Settings!$B$6))</f>
        <v/>
      </c>
      <c r="I488" s="21">
        <f>IF(B488="","",IFERROR(INDEX(Settings!$B$10:$B$21,MATCH(B488,Settings!$A$10:$A$21,0)),4))</f>
        <v/>
      </c>
      <c r="J488" s="22">
        <f>IF(OR(A488="",C488="",I488=""),"",I488*H488*C488/60)</f>
        <v/>
      </c>
    </row>
    <row r="489">
      <c r="A489" s="35" t="n"/>
      <c r="B489" s="33" t="n"/>
      <c r="C489" s="31" t="n"/>
      <c r="D489" s="30" t="n"/>
      <c r="E489" s="33" t="n"/>
      <c r="F489" s="20">
        <f>IF(A489="","",WEEKNUM(A489,21))</f>
        <v/>
      </c>
      <c r="G489" s="21">
        <f>IF(OR(C489="",N(D489)=0),"",C489/D489)</f>
        <v/>
      </c>
      <c r="H489" s="21">
        <f>IF(A489="","",IFERROR(INDEX(Weight!$B$2:$B$1000,MATCH(IF(_xlfn.MAXIFS(Weight!$A$2:$A$1000,Weight!$A$2:$A$1000,"&lt;="&amp;A489)&gt;0,_xlfn.MAXIFS(Weight!$A$2:$A$1000,Weight!$A$2:$A$1000,"&lt;="&amp;A489),_xlfn.MINIFS(Weight!$A$2:$A$1000,Weight!$A$2:$A$1000,"&gt;0")),Weight!$A$2:$A$1000,0)),Settings!$B$6))</f>
        <v/>
      </c>
      <c r="I489" s="21">
        <f>IF(B489="","",IFERROR(INDEX(Settings!$B$10:$B$21,MATCH(B489,Settings!$A$10:$A$21,0)),4))</f>
        <v/>
      </c>
      <c r="J489" s="22">
        <f>IF(OR(A489="",C489="",I489=""),"",I489*H489*C489/60)</f>
        <v/>
      </c>
    </row>
    <row r="490">
      <c r="A490" s="35" t="n"/>
      <c r="B490" s="33" t="n"/>
      <c r="C490" s="31" t="n"/>
      <c r="D490" s="30" t="n"/>
      <c r="E490" s="33" t="n"/>
      <c r="F490" s="20">
        <f>IF(A490="","",WEEKNUM(A490,21))</f>
        <v/>
      </c>
      <c r="G490" s="21">
        <f>IF(OR(C490="",N(D490)=0),"",C490/D490)</f>
        <v/>
      </c>
      <c r="H490" s="21">
        <f>IF(A490="","",IFERROR(INDEX(Weight!$B$2:$B$1000,MATCH(IF(_xlfn.MAXIFS(Weight!$A$2:$A$1000,Weight!$A$2:$A$1000,"&lt;="&amp;A490)&gt;0,_xlfn.MAXIFS(Weight!$A$2:$A$1000,Weight!$A$2:$A$1000,"&lt;="&amp;A490),_xlfn.MINIFS(Weight!$A$2:$A$1000,Weight!$A$2:$A$1000,"&gt;0")),Weight!$A$2:$A$1000,0)),Settings!$B$6))</f>
        <v/>
      </c>
      <c r="I490" s="21">
        <f>IF(B490="","",IFERROR(INDEX(Settings!$B$10:$B$21,MATCH(B490,Settings!$A$10:$A$21,0)),4))</f>
        <v/>
      </c>
      <c r="J490" s="22">
        <f>IF(OR(A490="",C490="",I490=""),"",I490*H490*C490/60)</f>
        <v/>
      </c>
    </row>
    <row r="491">
      <c r="A491" s="35" t="n"/>
      <c r="B491" s="33" t="n"/>
      <c r="C491" s="31" t="n"/>
      <c r="D491" s="30" t="n"/>
      <c r="E491" s="33" t="n"/>
      <c r="F491" s="20">
        <f>IF(A491="","",WEEKNUM(A491,21))</f>
        <v/>
      </c>
      <c r="G491" s="21">
        <f>IF(OR(C491="",N(D491)=0),"",C491/D491)</f>
        <v/>
      </c>
      <c r="H491" s="21">
        <f>IF(A491="","",IFERROR(INDEX(Weight!$B$2:$B$1000,MATCH(IF(_xlfn.MAXIFS(Weight!$A$2:$A$1000,Weight!$A$2:$A$1000,"&lt;="&amp;A491)&gt;0,_xlfn.MAXIFS(Weight!$A$2:$A$1000,Weight!$A$2:$A$1000,"&lt;="&amp;A491),_xlfn.MINIFS(Weight!$A$2:$A$1000,Weight!$A$2:$A$1000,"&gt;0")),Weight!$A$2:$A$1000,0)),Settings!$B$6))</f>
        <v/>
      </c>
      <c r="I491" s="21">
        <f>IF(B491="","",IFERROR(INDEX(Settings!$B$10:$B$21,MATCH(B491,Settings!$A$10:$A$21,0)),4))</f>
        <v/>
      </c>
      <c r="J491" s="22">
        <f>IF(OR(A491="",C491="",I491=""),"",I491*H491*C491/60)</f>
        <v/>
      </c>
    </row>
    <row r="492">
      <c r="A492" s="35" t="n"/>
      <c r="B492" s="33" t="n"/>
      <c r="C492" s="31" t="n"/>
      <c r="D492" s="30" t="n"/>
      <c r="E492" s="33" t="n"/>
      <c r="F492" s="20">
        <f>IF(A492="","",WEEKNUM(A492,21))</f>
        <v/>
      </c>
      <c r="G492" s="21">
        <f>IF(OR(C492="",N(D492)=0),"",C492/D492)</f>
        <v/>
      </c>
      <c r="H492" s="21">
        <f>IF(A492="","",IFERROR(INDEX(Weight!$B$2:$B$1000,MATCH(IF(_xlfn.MAXIFS(Weight!$A$2:$A$1000,Weight!$A$2:$A$1000,"&lt;="&amp;A492)&gt;0,_xlfn.MAXIFS(Weight!$A$2:$A$1000,Weight!$A$2:$A$1000,"&lt;="&amp;A492),_xlfn.MINIFS(Weight!$A$2:$A$1000,Weight!$A$2:$A$1000,"&gt;0")),Weight!$A$2:$A$1000,0)),Settings!$B$6))</f>
        <v/>
      </c>
      <c r="I492" s="21">
        <f>IF(B492="","",IFERROR(INDEX(Settings!$B$10:$B$21,MATCH(B492,Settings!$A$10:$A$21,0)),4))</f>
        <v/>
      </c>
      <c r="J492" s="22">
        <f>IF(OR(A492="",C492="",I492=""),"",I492*H492*C492/60)</f>
        <v/>
      </c>
    </row>
    <row r="493">
      <c r="A493" s="35" t="n"/>
      <c r="B493" s="33" t="n"/>
      <c r="C493" s="31" t="n"/>
      <c r="D493" s="30" t="n"/>
      <c r="E493" s="33" t="n"/>
      <c r="F493" s="20">
        <f>IF(A493="","",WEEKNUM(A493,21))</f>
        <v/>
      </c>
      <c r="G493" s="21">
        <f>IF(OR(C493="",N(D493)=0),"",C493/D493)</f>
        <v/>
      </c>
      <c r="H493" s="21">
        <f>IF(A493="","",IFERROR(INDEX(Weight!$B$2:$B$1000,MATCH(IF(_xlfn.MAXIFS(Weight!$A$2:$A$1000,Weight!$A$2:$A$1000,"&lt;="&amp;A493)&gt;0,_xlfn.MAXIFS(Weight!$A$2:$A$1000,Weight!$A$2:$A$1000,"&lt;="&amp;A493),_xlfn.MINIFS(Weight!$A$2:$A$1000,Weight!$A$2:$A$1000,"&gt;0")),Weight!$A$2:$A$1000,0)),Settings!$B$6))</f>
        <v/>
      </c>
      <c r="I493" s="21">
        <f>IF(B493="","",IFERROR(INDEX(Settings!$B$10:$B$21,MATCH(B493,Settings!$A$10:$A$21,0)),4))</f>
        <v/>
      </c>
      <c r="J493" s="22">
        <f>IF(OR(A493="",C493="",I493=""),"",I493*H493*C493/60)</f>
        <v/>
      </c>
    </row>
    <row r="494">
      <c r="A494" s="35" t="n"/>
      <c r="B494" s="33" t="n"/>
      <c r="C494" s="31" t="n"/>
      <c r="D494" s="30" t="n"/>
      <c r="E494" s="33" t="n"/>
      <c r="F494" s="20">
        <f>IF(A494="","",WEEKNUM(A494,21))</f>
        <v/>
      </c>
      <c r="G494" s="21">
        <f>IF(OR(C494="",N(D494)=0),"",C494/D494)</f>
        <v/>
      </c>
      <c r="H494" s="21">
        <f>IF(A494="","",IFERROR(INDEX(Weight!$B$2:$B$1000,MATCH(IF(_xlfn.MAXIFS(Weight!$A$2:$A$1000,Weight!$A$2:$A$1000,"&lt;="&amp;A494)&gt;0,_xlfn.MAXIFS(Weight!$A$2:$A$1000,Weight!$A$2:$A$1000,"&lt;="&amp;A494),_xlfn.MINIFS(Weight!$A$2:$A$1000,Weight!$A$2:$A$1000,"&gt;0")),Weight!$A$2:$A$1000,0)),Settings!$B$6))</f>
        <v/>
      </c>
      <c r="I494" s="21">
        <f>IF(B494="","",IFERROR(INDEX(Settings!$B$10:$B$21,MATCH(B494,Settings!$A$10:$A$21,0)),4))</f>
        <v/>
      </c>
      <c r="J494" s="22">
        <f>IF(OR(A494="",C494="",I494=""),"",I494*H494*C494/60)</f>
        <v/>
      </c>
    </row>
    <row r="495">
      <c r="A495" s="35" t="n"/>
      <c r="B495" s="33" t="n"/>
      <c r="C495" s="31" t="n"/>
      <c r="D495" s="30" t="n"/>
      <c r="E495" s="33" t="n"/>
      <c r="F495" s="20">
        <f>IF(A495="","",WEEKNUM(A495,21))</f>
        <v/>
      </c>
      <c r="G495" s="21">
        <f>IF(OR(C495="",N(D495)=0),"",C495/D495)</f>
        <v/>
      </c>
      <c r="H495" s="21">
        <f>IF(A495="","",IFERROR(INDEX(Weight!$B$2:$B$1000,MATCH(IF(_xlfn.MAXIFS(Weight!$A$2:$A$1000,Weight!$A$2:$A$1000,"&lt;="&amp;A495)&gt;0,_xlfn.MAXIFS(Weight!$A$2:$A$1000,Weight!$A$2:$A$1000,"&lt;="&amp;A495),_xlfn.MINIFS(Weight!$A$2:$A$1000,Weight!$A$2:$A$1000,"&gt;0")),Weight!$A$2:$A$1000,0)),Settings!$B$6))</f>
        <v/>
      </c>
      <c r="I495" s="21">
        <f>IF(B495="","",IFERROR(INDEX(Settings!$B$10:$B$21,MATCH(B495,Settings!$A$10:$A$21,0)),4))</f>
        <v/>
      </c>
      <c r="J495" s="22">
        <f>IF(OR(A495="",C495="",I495=""),"",I495*H495*C495/60)</f>
        <v/>
      </c>
    </row>
    <row r="496">
      <c r="A496" s="35" t="n"/>
      <c r="B496" s="33" t="n"/>
      <c r="C496" s="31" t="n"/>
      <c r="D496" s="30" t="n"/>
      <c r="E496" s="33" t="n"/>
      <c r="F496" s="20">
        <f>IF(A496="","",WEEKNUM(A496,21))</f>
        <v/>
      </c>
      <c r="G496" s="21">
        <f>IF(OR(C496="",N(D496)=0),"",C496/D496)</f>
        <v/>
      </c>
      <c r="H496" s="21">
        <f>IF(A496="","",IFERROR(INDEX(Weight!$B$2:$B$1000,MATCH(IF(_xlfn.MAXIFS(Weight!$A$2:$A$1000,Weight!$A$2:$A$1000,"&lt;="&amp;A496)&gt;0,_xlfn.MAXIFS(Weight!$A$2:$A$1000,Weight!$A$2:$A$1000,"&lt;="&amp;A496),_xlfn.MINIFS(Weight!$A$2:$A$1000,Weight!$A$2:$A$1000,"&gt;0")),Weight!$A$2:$A$1000,0)),Settings!$B$6))</f>
        <v/>
      </c>
      <c r="I496" s="21">
        <f>IF(B496="","",IFERROR(INDEX(Settings!$B$10:$B$21,MATCH(B496,Settings!$A$10:$A$21,0)),4))</f>
        <v/>
      </c>
      <c r="J496" s="22">
        <f>IF(OR(A496="",C496="",I496=""),"",I496*H496*C496/60)</f>
        <v/>
      </c>
    </row>
    <row r="497">
      <c r="A497" s="35" t="n"/>
      <c r="B497" s="33" t="n"/>
      <c r="C497" s="31" t="n"/>
      <c r="D497" s="30" t="n"/>
      <c r="E497" s="33" t="n"/>
      <c r="F497" s="20">
        <f>IF(A497="","",WEEKNUM(A497,21))</f>
        <v/>
      </c>
      <c r="G497" s="21">
        <f>IF(OR(C497="",N(D497)=0),"",C497/D497)</f>
        <v/>
      </c>
      <c r="H497" s="21">
        <f>IF(A497="","",IFERROR(INDEX(Weight!$B$2:$B$1000,MATCH(IF(_xlfn.MAXIFS(Weight!$A$2:$A$1000,Weight!$A$2:$A$1000,"&lt;="&amp;A497)&gt;0,_xlfn.MAXIFS(Weight!$A$2:$A$1000,Weight!$A$2:$A$1000,"&lt;="&amp;A497),_xlfn.MINIFS(Weight!$A$2:$A$1000,Weight!$A$2:$A$1000,"&gt;0")),Weight!$A$2:$A$1000,0)),Settings!$B$6))</f>
        <v/>
      </c>
      <c r="I497" s="21">
        <f>IF(B497="","",IFERROR(INDEX(Settings!$B$10:$B$21,MATCH(B497,Settings!$A$10:$A$21,0)),4))</f>
        <v/>
      </c>
      <c r="J497" s="22">
        <f>IF(OR(A497="",C497="",I497=""),"",I497*H497*C497/60)</f>
        <v/>
      </c>
    </row>
    <row r="498">
      <c r="A498" s="35" t="n"/>
      <c r="B498" s="33" t="n"/>
      <c r="C498" s="31" t="n"/>
      <c r="D498" s="30" t="n"/>
      <c r="E498" s="33" t="n"/>
      <c r="F498" s="20">
        <f>IF(A498="","",WEEKNUM(A498,21))</f>
        <v/>
      </c>
      <c r="G498" s="21">
        <f>IF(OR(C498="",N(D498)=0),"",C498/D498)</f>
        <v/>
      </c>
      <c r="H498" s="21">
        <f>IF(A498="","",IFERROR(INDEX(Weight!$B$2:$B$1000,MATCH(IF(_xlfn.MAXIFS(Weight!$A$2:$A$1000,Weight!$A$2:$A$1000,"&lt;="&amp;A498)&gt;0,_xlfn.MAXIFS(Weight!$A$2:$A$1000,Weight!$A$2:$A$1000,"&lt;="&amp;A498),_xlfn.MINIFS(Weight!$A$2:$A$1000,Weight!$A$2:$A$1000,"&gt;0")),Weight!$A$2:$A$1000,0)),Settings!$B$6))</f>
        <v/>
      </c>
      <c r="I498" s="21">
        <f>IF(B498="","",IFERROR(INDEX(Settings!$B$10:$B$21,MATCH(B498,Settings!$A$10:$A$21,0)),4))</f>
        <v/>
      </c>
      <c r="J498" s="22">
        <f>IF(OR(A498="",C498="",I498=""),"",I498*H498*C498/60)</f>
        <v/>
      </c>
    </row>
    <row r="499">
      <c r="A499" s="35" t="n"/>
      <c r="B499" s="33" t="n"/>
      <c r="C499" s="31" t="n"/>
      <c r="D499" s="30" t="n"/>
      <c r="E499" s="33" t="n"/>
      <c r="F499" s="20">
        <f>IF(A499="","",WEEKNUM(A499,21))</f>
        <v/>
      </c>
      <c r="G499" s="21">
        <f>IF(OR(C499="",N(D499)=0),"",C499/D499)</f>
        <v/>
      </c>
      <c r="H499" s="21">
        <f>IF(A499="","",IFERROR(INDEX(Weight!$B$2:$B$1000,MATCH(IF(_xlfn.MAXIFS(Weight!$A$2:$A$1000,Weight!$A$2:$A$1000,"&lt;="&amp;A499)&gt;0,_xlfn.MAXIFS(Weight!$A$2:$A$1000,Weight!$A$2:$A$1000,"&lt;="&amp;A499),_xlfn.MINIFS(Weight!$A$2:$A$1000,Weight!$A$2:$A$1000,"&gt;0")),Weight!$A$2:$A$1000,0)),Settings!$B$6))</f>
        <v/>
      </c>
      <c r="I499" s="21">
        <f>IF(B499="","",IFERROR(INDEX(Settings!$B$10:$B$21,MATCH(B499,Settings!$A$10:$A$21,0)),4))</f>
        <v/>
      </c>
      <c r="J499" s="22">
        <f>IF(OR(A499="",C499="",I499=""),"",I499*H499*C499/60)</f>
        <v/>
      </c>
    </row>
    <row r="500">
      <c r="A500" s="35" t="n"/>
      <c r="B500" s="33" t="n"/>
      <c r="C500" s="31" t="n"/>
      <c r="D500" s="30" t="n"/>
      <c r="E500" s="33" t="n"/>
      <c r="F500" s="20">
        <f>IF(A500="","",WEEKNUM(A500,21))</f>
        <v/>
      </c>
      <c r="G500" s="21">
        <f>IF(OR(C500="",N(D500)=0),"",C500/D500)</f>
        <v/>
      </c>
      <c r="H500" s="21">
        <f>IF(A500="","",IFERROR(INDEX(Weight!$B$2:$B$1000,MATCH(IF(_xlfn.MAXIFS(Weight!$A$2:$A$1000,Weight!$A$2:$A$1000,"&lt;="&amp;A500)&gt;0,_xlfn.MAXIFS(Weight!$A$2:$A$1000,Weight!$A$2:$A$1000,"&lt;="&amp;A500),_xlfn.MINIFS(Weight!$A$2:$A$1000,Weight!$A$2:$A$1000,"&gt;0")),Weight!$A$2:$A$1000,0)),Settings!$B$6))</f>
        <v/>
      </c>
      <c r="I500" s="21">
        <f>IF(B500="","",IFERROR(INDEX(Settings!$B$10:$B$21,MATCH(B500,Settings!$A$10:$A$21,0)),4))</f>
        <v/>
      </c>
      <c r="J500" s="22">
        <f>IF(OR(A500="",C500="",I500=""),"",I500*H500*C500/60)</f>
        <v/>
      </c>
    </row>
    <row r="501">
      <c r="A501" s="35" t="n"/>
      <c r="B501" s="33" t="n"/>
      <c r="C501" s="31" t="n"/>
      <c r="D501" s="30" t="n"/>
      <c r="E501" s="33" t="n"/>
      <c r="F501" s="20">
        <f>IF(A501="","",WEEKNUM(A501,21))</f>
        <v/>
      </c>
      <c r="G501" s="21">
        <f>IF(OR(C501="",N(D501)=0),"",C501/D501)</f>
        <v/>
      </c>
      <c r="H501" s="21">
        <f>IF(A501="","",IFERROR(INDEX(Weight!$B$2:$B$1000,MATCH(IF(_xlfn.MAXIFS(Weight!$A$2:$A$1000,Weight!$A$2:$A$1000,"&lt;="&amp;A501)&gt;0,_xlfn.MAXIFS(Weight!$A$2:$A$1000,Weight!$A$2:$A$1000,"&lt;="&amp;A501),_xlfn.MINIFS(Weight!$A$2:$A$1000,Weight!$A$2:$A$1000,"&gt;0")),Weight!$A$2:$A$1000,0)),Settings!$B$6))</f>
        <v/>
      </c>
      <c r="I501" s="21">
        <f>IF(B501="","",IFERROR(INDEX(Settings!$B$10:$B$21,MATCH(B501,Settings!$A$10:$A$21,0)),4))</f>
        <v/>
      </c>
      <c r="J501" s="22">
        <f>IF(OR(A501="",C501="",I501=""),"",I501*H501*C501/60)</f>
        <v/>
      </c>
    </row>
    <row r="502">
      <c r="A502" s="35" t="n"/>
      <c r="B502" s="33" t="n"/>
      <c r="C502" s="31" t="n"/>
      <c r="D502" s="30" t="n"/>
      <c r="E502" s="33" t="n"/>
      <c r="F502" s="20">
        <f>IF(A502="","",WEEKNUM(A502,21))</f>
        <v/>
      </c>
      <c r="G502" s="21">
        <f>IF(OR(C502="",N(D502)=0),"",C502/D502)</f>
        <v/>
      </c>
      <c r="H502" s="21">
        <f>IF(A502="","",IFERROR(INDEX(Weight!$B$2:$B$1000,MATCH(IF(_xlfn.MAXIFS(Weight!$A$2:$A$1000,Weight!$A$2:$A$1000,"&lt;="&amp;A502)&gt;0,_xlfn.MAXIFS(Weight!$A$2:$A$1000,Weight!$A$2:$A$1000,"&lt;="&amp;A502),_xlfn.MINIFS(Weight!$A$2:$A$1000,Weight!$A$2:$A$1000,"&gt;0")),Weight!$A$2:$A$1000,0)),Settings!$B$6))</f>
        <v/>
      </c>
      <c r="I502" s="21">
        <f>IF(B502="","",IFERROR(INDEX(Settings!$B$10:$B$21,MATCH(B502,Settings!$A$10:$A$21,0)),4))</f>
        <v/>
      </c>
      <c r="J502" s="22">
        <f>IF(OR(A502="",C502="",I502=""),"",I502*H502*C502/60)</f>
        <v/>
      </c>
    </row>
    <row r="503">
      <c r="A503" s="35" t="n"/>
      <c r="B503" s="33" t="n"/>
      <c r="C503" s="31" t="n"/>
      <c r="D503" s="30" t="n"/>
      <c r="E503" s="33" t="n"/>
      <c r="F503" s="20">
        <f>IF(A503="","",WEEKNUM(A503,21))</f>
        <v/>
      </c>
      <c r="G503" s="21">
        <f>IF(OR(C503="",N(D503)=0),"",C503/D503)</f>
        <v/>
      </c>
      <c r="H503" s="21">
        <f>IF(A503="","",IFERROR(INDEX(Weight!$B$2:$B$1000,MATCH(IF(_xlfn.MAXIFS(Weight!$A$2:$A$1000,Weight!$A$2:$A$1000,"&lt;="&amp;A503)&gt;0,_xlfn.MAXIFS(Weight!$A$2:$A$1000,Weight!$A$2:$A$1000,"&lt;="&amp;A503),_xlfn.MINIFS(Weight!$A$2:$A$1000,Weight!$A$2:$A$1000,"&gt;0")),Weight!$A$2:$A$1000,0)),Settings!$B$6))</f>
        <v/>
      </c>
      <c r="I503" s="21">
        <f>IF(B503="","",IFERROR(INDEX(Settings!$B$10:$B$21,MATCH(B503,Settings!$A$10:$A$21,0)),4))</f>
        <v/>
      </c>
      <c r="J503" s="22">
        <f>IF(OR(A503="",C503="",I503=""),"",I503*H503*C503/60)</f>
        <v/>
      </c>
    </row>
    <row r="504">
      <c r="A504" s="35" t="n"/>
      <c r="B504" s="33" t="n"/>
      <c r="C504" s="31" t="n"/>
      <c r="D504" s="30" t="n"/>
      <c r="E504" s="33" t="n"/>
      <c r="F504" s="20">
        <f>IF(A504="","",WEEKNUM(A504,21))</f>
        <v/>
      </c>
      <c r="G504" s="21">
        <f>IF(OR(C504="",N(D504)=0),"",C504/D504)</f>
        <v/>
      </c>
      <c r="H504" s="21">
        <f>IF(A504="","",IFERROR(INDEX(Weight!$B$2:$B$1000,MATCH(IF(_xlfn.MAXIFS(Weight!$A$2:$A$1000,Weight!$A$2:$A$1000,"&lt;="&amp;A504)&gt;0,_xlfn.MAXIFS(Weight!$A$2:$A$1000,Weight!$A$2:$A$1000,"&lt;="&amp;A504),_xlfn.MINIFS(Weight!$A$2:$A$1000,Weight!$A$2:$A$1000,"&gt;0")),Weight!$A$2:$A$1000,0)),Settings!$B$6))</f>
        <v/>
      </c>
      <c r="I504" s="21">
        <f>IF(B504="","",IFERROR(INDEX(Settings!$B$10:$B$21,MATCH(B504,Settings!$A$10:$A$21,0)),4))</f>
        <v/>
      </c>
      <c r="J504" s="22">
        <f>IF(OR(A504="",C504="",I504=""),"",I504*H504*C504/60)</f>
        <v/>
      </c>
    </row>
    <row r="505">
      <c r="A505" s="35" t="n"/>
      <c r="B505" s="33" t="n"/>
      <c r="C505" s="31" t="n"/>
      <c r="D505" s="30" t="n"/>
      <c r="E505" s="33" t="n"/>
      <c r="F505" s="20">
        <f>IF(A505="","",WEEKNUM(A505,21))</f>
        <v/>
      </c>
      <c r="G505" s="21">
        <f>IF(OR(C505="",N(D505)=0),"",C505/D505)</f>
        <v/>
      </c>
      <c r="H505" s="21">
        <f>IF(A505="","",IFERROR(INDEX(Weight!$B$2:$B$1000,MATCH(IF(_xlfn.MAXIFS(Weight!$A$2:$A$1000,Weight!$A$2:$A$1000,"&lt;="&amp;A505)&gt;0,_xlfn.MAXIFS(Weight!$A$2:$A$1000,Weight!$A$2:$A$1000,"&lt;="&amp;A505),_xlfn.MINIFS(Weight!$A$2:$A$1000,Weight!$A$2:$A$1000,"&gt;0")),Weight!$A$2:$A$1000,0)),Settings!$B$6))</f>
        <v/>
      </c>
      <c r="I505" s="21">
        <f>IF(B505="","",IFERROR(INDEX(Settings!$B$10:$B$21,MATCH(B505,Settings!$A$10:$A$21,0)),4))</f>
        <v/>
      </c>
      <c r="J505" s="22">
        <f>IF(OR(A505="",C505="",I505=""),"",I505*H505*C505/60)</f>
        <v/>
      </c>
    </row>
    <row r="506">
      <c r="A506" s="35" t="n"/>
      <c r="B506" s="33" t="n"/>
      <c r="C506" s="31" t="n"/>
      <c r="D506" s="30" t="n"/>
      <c r="E506" s="33" t="n"/>
      <c r="F506" s="20">
        <f>IF(A506="","",WEEKNUM(A506,21))</f>
        <v/>
      </c>
      <c r="G506" s="21">
        <f>IF(OR(C506="",N(D506)=0),"",C506/D506)</f>
        <v/>
      </c>
      <c r="H506" s="21">
        <f>IF(A506="","",IFERROR(INDEX(Weight!$B$2:$B$1000,MATCH(IF(_xlfn.MAXIFS(Weight!$A$2:$A$1000,Weight!$A$2:$A$1000,"&lt;="&amp;A506)&gt;0,_xlfn.MAXIFS(Weight!$A$2:$A$1000,Weight!$A$2:$A$1000,"&lt;="&amp;A506),_xlfn.MINIFS(Weight!$A$2:$A$1000,Weight!$A$2:$A$1000,"&gt;0")),Weight!$A$2:$A$1000,0)),Settings!$B$6))</f>
        <v/>
      </c>
      <c r="I506" s="21">
        <f>IF(B506="","",IFERROR(INDEX(Settings!$B$10:$B$21,MATCH(B506,Settings!$A$10:$A$21,0)),4))</f>
        <v/>
      </c>
      <c r="J506" s="22">
        <f>IF(OR(A506="",C506="",I506=""),"",I506*H506*C506/60)</f>
        <v/>
      </c>
    </row>
    <row r="507">
      <c r="A507" s="35" t="n"/>
      <c r="B507" s="33" t="n"/>
      <c r="C507" s="31" t="n"/>
      <c r="D507" s="30" t="n"/>
      <c r="E507" s="33" t="n"/>
      <c r="F507" s="20">
        <f>IF(A507="","",WEEKNUM(A507,21))</f>
        <v/>
      </c>
      <c r="G507" s="21">
        <f>IF(OR(C507="",N(D507)=0),"",C507/D507)</f>
        <v/>
      </c>
      <c r="H507" s="21">
        <f>IF(A507="","",IFERROR(INDEX(Weight!$B$2:$B$1000,MATCH(IF(_xlfn.MAXIFS(Weight!$A$2:$A$1000,Weight!$A$2:$A$1000,"&lt;="&amp;A507)&gt;0,_xlfn.MAXIFS(Weight!$A$2:$A$1000,Weight!$A$2:$A$1000,"&lt;="&amp;A507),_xlfn.MINIFS(Weight!$A$2:$A$1000,Weight!$A$2:$A$1000,"&gt;0")),Weight!$A$2:$A$1000,0)),Settings!$B$6))</f>
        <v/>
      </c>
      <c r="I507" s="21">
        <f>IF(B507="","",IFERROR(INDEX(Settings!$B$10:$B$21,MATCH(B507,Settings!$A$10:$A$21,0)),4))</f>
        <v/>
      </c>
      <c r="J507" s="22">
        <f>IF(OR(A507="",C507="",I507=""),"",I507*H507*C507/60)</f>
        <v/>
      </c>
    </row>
    <row r="508">
      <c r="A508" s="35" t="n"/>
      <c r="B508" s="33" t="n"/>
      <c r="C508" s="31" t="n"/>
      <c r="D508" s="30" t="n"/>
      <c r="E508" s="33" t="n"/>
      <c r="F508" s="20">
        <f>IF(A508="","",WEEKNUM(A508,21))</f>
        <v/>
      </c>
      <c r="G508" s="21">
        <f>IF(OR(C508="",N(D508)=0),"",C508/D508)</f>
        <v/>
      </c>
      <c r="H508" s="21">
        <f>IF(A508="","",IFERROR(INDEX(Weight!$B$2:$B$1000,MATCH(IF(_xlfn.MAXIFS(Weight!$A$2:$A$1000,Weight!$A$2:$A$1000,"&lt;="&amp;A508)&gt;0,_xlfn.MAXIFS(Weight!$A$2:$A$1000,Weight!$A$2:$A$1000,"&lt;="&amp;A508),_xlfn.MINIFS(Weight!$A$2:$A$1000,Weight!$A$2:$A$1000,"&gt;0")),Weight!$A$2:$A$1000,0)),Settings!$B$6))</f>
        <v/>
      </c>
      <c r="I508" s="21">
        <f>IF(B508="","",IFERROR(INDEX(Settings!$B$10:$B$21,MATCH(B508,Settings!$A$10:$A$21,0)),4))</f>
        <v/>
      </c>
      <c r="J508" s="22">
        <f>IF(OR(A508="",C508="",I508=""),"",I508*H508*C508/60)</f>
        <v/>
      </c>
    </row>
    <row r="509">
      <c r="A509" s="35" t="n"/>
      <c r="B509" s="33" t="n"/>
      <c r="C509" s="31" t="n"/>
      <c r="D509" s="30" t="n"/>
      <c r="E509" s="33" t="n"/>
      <c r="F509" s="20">
        <f>IF(A509="","",WEEKNUM(A509,21))</f>
        <v/>
      </c>
      <c r="G509" s="21">
        <f>IF(OR(C509="",N(D509)=0),"",C509/D509)</f>
        <v/>
      </c>
      <c r="H509" s="21">
        <f>IF(A509="","",IFERROR(INDEX(Weight!$B$2:$B$1000,MATCH(IF(_xlfn.MAXIFS(Weight!$A$2:$A$1000,Weight!$A$2:$A$1000,"&lt;="&amp;A509)&gt;0,_xlfn.MAXIFS(Weight!$A$2:$A$1000,Weight!$A$2:$A$1000,"&lt;="&amp;A509),_xlfn.MINIFS(Weight!$A$2:$A$1000,Weight!$A$2:$A$1000,"&gt;0")),Weight!$A$2:$A$1000,0)),Settings!$B$6))</f>
        <v/>
      </c>
      <c r="I509" s="21">
        <f>IF(B509="","",IFERROR(INDEX(Settings!$B$10:$B$21,MATCH(B509,Settings!$A$10:$A$21,0)),4))</f>
        <v/>
      </c>
      <c r="J509" s="22">
        <f>IF(OR(A509="",C509="",I509=""),"",I509*H509*C509/60)</f>
        <v/>
      </c>
    </row>
    <row r="510">
      <c r="A510" s="35" t="n"/>
      <c r="B510" s="33" t="n"/>
      <c r="C510" s="31" t="n"/>
      <c r="D510" s="30" t="n"/>
      <c r="E510" s="33" t="n"/>
      <c r="F510" s="20">
        <f>IF(A510="","",WEEKNUM(A510,21))</f>
        <v/>
      </c>
      <c r="G510" s="21">
        <f>IF(OR(C510="",N(D510)=0),"",C510/D510)</f>
        <v/>
      </c>
      <c r="H510" s="21">
        <f>IF(A510="","",IFERROR(INDEX(Weight!$B$2:$B$1000,MATCH(IF(_xlfn.MAXIFS(Weight!$A$2:$A$1000,Weight!$A$2:$A$1000,"&lt;="&amp;A510)&gt;0,_xlfn.MAXIFS(Weight!$A$2:$A$1000,Weight!$A$2:$A$1000,"&lt;="&amp;A510),_xlfn.MINIFS(Weight!$A$2:$A$1000,Weight!$A$2:$A$1000,"&gt;0")),Weight!$A$2:$A$1000,0)),Settings!$B$6))</f>
        <v/>
      </c>
      <c r="I510" s="21">
        <f>IF(B510="","",IFERROR(INDEX(Settings!$B$10:$B$21,MATCH(B510,Settings!$A$10:$A$21,0)),4))</f>
        <v/>
      </c>
      <c r="J510" s="22">
        <f>IF(OR(A510="",C510="",I510=""),"",I510*H510*C510/60)</f>
        <v/>
      </c>
    </row>
    <row r="511">
      <c r="A511" s="35" t="n"/>
      <c r="B511" s="33" t="n"/>
      <c r="C511" s="31" t="n"/>
      <c r="D511" s="30" t="n"/>
      <c r="E511" s="33" t="n"/>
      <c r="F511" s="20">
        <f>IF(A511="","",WEEKNUM(A511,21))</f>
        <v/>
      </c>
      <c r="G511" s="21">
        <f>IF(OR(C511="",N(D511)=0),"",C511/D511)</f>
        <v/>
      </c>
      <c r="H511" s="21">
        <f>IF(A511="","",IFERROR(INDEX(Weight!$B$2:$B$1000,MATCH(IF(_xlfn.MAXIFS(Weight!$A$2:$A$1000,Weight!$A$2:$A$1000,"&lt;="&amp;A511)&gt;0,_xlfn.MAXIFS(Weight!$A$2:$A$1000,Weight!$A$2:$A$1000,"&lt;="&amp;A511),_xlfn.MINIFS(Weight!$A$2:$A$1000,Weight!$A$2:$A$1000,"&gt;0")),Weight!$A$2:$A$1000,0)),Settings!$B$6))</f>
        <v/>
      </c>
      <c r="I511" s="21">
        <f>IF(B511="","",IFERROR(INDEX(Settings!$B$10:$B$21,MATCH(B511,Settings!$A$10:$A$21,0)),4))</f>
        <v/>
      </c>
      <c r="J511" s="22">
        <f>IF(OR(A511="",C511="",I511=""),"",I511*H511*C511/60)</f>
        <v/>
      </c>
    </row>
    <row r="512">
      <c r="A512" s="35" t="n"/>
      <c r="B512" s="33" t="n"/>
      <c r="C512" s="31" t="n"/>
      <c r="D512" s="30" t="n"/>
      <c r="E512" s="33" t="n"/>
      <c r="F512" s="20">
        <f>IF(A512="","",WEEKNUM(A512,21))</f>
        <v/>
      </c>
      <c r="G512" s="21">
        <f>IF(OR(C512="",N(D512)=0),"",C512/D512)</f>
        <v/>
      </c>
      <c r="H512" s="21">
        <f>IF(A512="","",IFERROR(INDEX(Weight!$B$2:$B$1000,MATCH(IF(_xlfn.MAXIFS(Weight!$A$2:$A$1000,Weight!$A$2:$A$1000,"&lt;="&amp;A512)&gt;0,_xlfn.MAXIFS(Weight!$A$2:$A$1000,Weight!$A$2:$A$1000,"&lt;="&amp;A512),_xlfn.MINIFS(Weight!$A$2:$A$1000,Weight!$A$2:$A$1000,"&gt;0")),Weight!$A$2:$A$1000,0)),Settings!$B$6))</f>
        <v/>
      </c>
      <c r="I512" s="21">
        <f>IF(B512="","",IFERROR(INDEX(Settings!$B$10:$B$21,MATCH(B512,Settings!$A$10:$A$21,0)),4))</f>
        <v/>
      </c>
      <c r="J512" s="22">
        <f>IF(OR(A512="",C512="",I512=""),"",I512*H512*C512/60)</f>
        <v/>
      </c>
    </row>
    <row r="513">
      <c r="A513" s="35" t="n"/>
      <c r="B513" s="33" t="n"/>
      <c r="C513" s="31" t="n"/>
      <c r="D513" s="30" t="n"/>
      <c r="E513" s="33" t="n"/>
      <c r="F513" s="20">
        <f>IF(A513="","",WEEKNUM(A513,21))</f>
        <v/>
      </c>
      <c r="G513" s="21">
        <f>IF(OR(C513="",N(D513)=0),"",C513/D513)</f>
        <v/>
      </c>
      <c r="H513" s="21">
        <f>IF(A513="","",IFERROR(INDEX(Weight!$B$2:$B$1000,MATCH(IF(_xlfn.MAXIFS(Weight!$A$2:$A$1000,Weight!$A$2:$A$1000,"&lt;="&amp;A513)&gt;0,_xlfn.MAXIFS(Weight!$A$2:$A$1000,Weight!$A$2:$A$1000,"&lt;="&amp;A513),_xlfn.MINIFS(Weight!$A$2:$A$1000,Weight!$A$2:$A$1000,"&gt;0")),Weight!$A$2:$A$1000,0)),Settings!$B$6))</f>
        <v/>
      </c>
      <c r="I513" s="21">
        <f>IF(B513="","",IFERROR(INDEX(Settings!$B$10:$B$21,MATCH(B513,Settings!$A$10:$A$21,0)),4))</f>
        <v/>
      </c>
      <c r="J513" s="22">
        <f>IF(OR(A513="",C513="",I513=""),"",I513*H513*C513/60)</f>
        <v/>
      </c>
    </row>
    <row r="514">
      <c r="A514" s="35" t="n"/>
      <c r="B514" s="33" t="n"/>
      <c r="C514" s="31" t="n"/>
      <c r="D514" s="30" t="n"/>
      <c r="E514" s="33" t="n"/>
      <c r="F514" s="20">
        <f>IF(A514="","",WEEKNUM(A514,21))</f>
        <v/>
      </c>
      <c r="G514" s="21">
        <f>IF(OR(C514="",N(D514)=0),"",C514/D514)</f>
        <v/>
      </c>
      <c r="H514" s="21">
        <f>IF(A514="","",IFERROR(INDEX(Weight!$B$2:$B$1000,MATCH(IF(_xlfn.MAXIFS(Weight!$A$2:$A$1000,Weight!$A$2:$A$1000,"&lt;="&amp;A514)&gt;0,_xlfn.MAXIFS(Weight!$A$2:$A$1000,Weight!$A$2:$A$1000,"&lt;="&amp;A514),_xlfn.MINIFS(Weight!$A$2:$A$1000,Weight!$A$2:$A$1000,"&gt;0")),Weight!$A$2:$A$1000,0)),Settings!$B$6))</f>
        <v/>
      </c>
      <c r="I514" s="21">
        <f>IF(B514="","",IFERROR(INDEX(Settings!$B$10:$B$21,MATCH(B514,Settings!$A$10:$A$21,0)),4))</f>
        <v/>
      </c>
      <c r="J514" s="22">
        <f>IF(OR(A514="",C514="",I514=""),"",I514*H514*C514/60)</f>
        <v/>
      </c>
    </row>
    <row r="515">
      <c r="A515" s="35" t="n"/>
      <c r="B515" s="33" t="n"/>
      <c r="C515" s="31" t="n"/>
      <c r="D515" s="30" t="n"/>
      <c r="E515" s="33" t="n"/>
      <c r="F515" s="20">
        <f>IF(A515="","",WEEKNUM(A515,21))</f>
        <v/>
      </c>
      <c r="G515" s="21">
        <f>IF(OR(C515="",N(D515)=0),"",C515/D515)</f>
        <v/>
      </c>
      <c r="H515" s="21">
        <f>IF(A515="","",IFERROR(INDEX(Weight!$B$2:$B$1000,MATCH(IF(_xlfn.MAXIFS(Weight!$A$2:$A$1000,Weight!$A$2:$A$1000,"&lt;="&amp;A515)&gt;0,_xlfn.MAXIFS(Weight!$A$2:$A$1000,Weight!$A$2:$A$1000,"&lt;="&amp;A515),_xlfn.MINIFS(Weight!$A$2:$A$1000,Weight!$A$2:$A$1000,"&gt;0")),Weight!$A$2:$A$1000,0)),Settings!$B$6))</f>
        <v/>
      </c>
      <c r="I515" s="21">
        <f>IF(B515="","",IFERROR(INDEX(Settings!$B$10:$B$21,MATCH(B515,Settings!$A$10:$A$21,0)),4))</f>
        <v/>
      </c>
      <c r="J515" s="22">
        <f>IF(OR(A515="",C515="",I515=""),"",I515*H515*C515/60)</f>
        <v/>
      </c>
    </row>
    <row r="516">
      <c r="A516" s="35" t="n"/>
      <c r="B516" s="33" t="n"/>
      <c r="C516" s="31" t="n"/>
      <c r="D516" s="30" t="n"/>
      <c r="E516" s="33" t="n"/>
      <c r="F516" s="20">
        <f>IF(A516="","",WEEKNUM(A516,21))</f>
        <v/>
      </c>
      <c r="G516" s="21">
        <f>IF(OR(C516="",N(D516)=0),"",C516/D516)</f>
        <v/>
      </c>
      <c r="H516" s="21">
        <f>IF(A516="","",IFERROR(INDEX(Weight!$B$2:$B$1000,MATCH(IF(_xlfn.MAXIFS(Weight!$A$2:$A$1000,Weight!$A$2:$A$1000,"&lt;="&amp;A516)&gt;0,_xlfn.MAXIFS(Weight!$A$2:$A$1000,Weight!$A$2:$A$1000,"&lt;="&amp;A516),_xlfn.MINIFS(Weight!$A$2:$A$1000,Weight!$A$2:$A$1000,"&gt;0")),Weight!$A$2:$A$1000,0)),Settings!$B$6))</f>
        <v/>
      </c>
      <c r="I516" s="21">
        <f>IF(B516="","",IFERROR(INDEX(Settings!$B$10:$B$21,MATCH(B516,Settings!$A$10:$A$21,0)),4))</f>
        <v/>
      </c>
      <c r="J516" s="22">
        <f>IF(OR(A516="",C516="",I516=""),"",I516*H516*C516/60)</f>
        <v/>
      </c>
    </row>
    <row r="517">
      <c r="A517" s="35" t="n"/>
      <c r="B517" s="33" t="n"/>
      <c r="C517" s="31" t="n"/>
      <c r="D517" s="30" t="n"/>
      <c r="E517" s="33" t="n"/>
      <c r="F517" s="20">
        <f>IF(A517="","",WEEKNUM(A517,21))</f>
        <v/>
      </c>
      <c r="G517" s="21">
        <f>IF(OR(C517="",N(D517)=0),"",C517/D517)</f>
        <v/>
      </c>
      <c r="H517" s="21">
        <f>IF(A517="","",IFERROR(INDEX(Weight!$B$2:$B$1000,MATCH(IF(_xlfn.MAXIFS(Weight!$A$2:$A$1000,Weight!$A$2:$A$1000,"&lt;="&amp;A517)&gt;0,_xlfn.MAXIFS(Weight!$A$2:$A$1000,Weight!$A$2:$A$1000,"&lt;="&amp;A517),_xlfn.MINIFS(Weight!$A$2:$A$1000,Weight!$A$2:$A$1000,"&gt;0")),Weight!$A$2:$A$1000,0)),Settings!$B$6))</f>
        <v/>
      </c>
      <c r="I517" s="21">
        <f>IF(B517="","",IFERROR(INDEX(Settings!$B$10:$B$21,MATCH(B517,Settings!$A$10:$A$21,0)),4))</f>
        <v/>
      </c>
      <c r="J517" s="22">
        <f>IF(OR(A517="",C517="",I517=""),"",I517*H517*C517/60)</f>
        <v/>
      </c>
    </row>
    <row r="518">
      <c r="A518" s="35" t="n"/>
      <c r="B518" s="33" t="n"/>
      <c r="C518" s="31" t="n"/>
      <c r="D518" s="30" t="n"/>
      <c r="E518" s="33" t="n"/>
      <c r="F518" s="20">
        <f>IF(A518="","",WEEKNUM(A518,21))</f>
        <v/>
      </c>
      <c r="G518" s="21">
        <f>IF(OR(C518="",N(D518)=0),"",C518/D518)</f>
        <v/>
      </c>
      <c r="H518" s="21">
        <f>IF(A518="","",IFERROR(INDEX(Weight!$B$2:$B$1000,MATCH(IF(_xlfn.MAXIFS(Weight!$A$2:$A$1000,Weight!$A$2:$A$1000,"&lt;="&amp;A518)&gt;0,_xlfn.MAXIFS(Weight!$A$2:$A$1000,Weight!$A$2:$A$1000,"&lt;="&amp;A518),_xlfn.MINIFS(Weight!$A$2:$A$1000,Weight!$A$2:$A$1000,"&gt;0")),Weight!$A$2:$A$1000,0)),Settings!$B$6))</f>
        <v/>
      </c>
      <c r="I518" s="21">
        <f>IF(B518="","",IFERROR(INDEX(Settings!$B$10:$B$21,MATCH(B518,Settings!$A$10:$A$21,0)),4))</f>
        <v/>
      </c>
      <c r="J518" s="22">
        <f>IF(OR(A518="",C518="",I518=""),"",I518*H518*C518/60)</f>
        <v/>
      </c>
    </row>
    <row r="519">
      <c r="A519" s="35" t="n"/>
      <c r="B519" s="33" t="n"/>
      <c r="C519" s="31" t="n"/>
      <c r="D519" s="30" t="n"/>
      <c r="E519" s="33" t="n"/>
      <c r="F519" s="20">
        <f>IF(A519="","",WEEKNUM(A519,21))</f>
        <v/>
      </c>
      <c r="G519" s="21">
        <f>IF(OR(C519="",N(D519)=0),"",C519/D519)</f>
        <v/>
      </c>
      <c r="H519" s="21">
        <f>IF(A519="","",IFERROR(INDEX(Weight!$B$2:$B$1000,MATCH(IF(_xlfn.MAXIFS(Weight!$A$2:$A$1000,Weight!$A$2:$A$1000,"&lt;="&amp;A519)&gt;0,_xlfn.MAXIFS(Weight!$A$2:$A$1000,Weight!$A$2:$A$1000,"&lt;="&amp;A519),_xlfn.MINIFS(Weight!$A$2:$A$1000,Weight!$A$2:$A$1000,"&gt;0")),Weight!$A$2:$A$1000,0)),Settings!$B$6))</f>
        <v/>
      </c>
      <c r="I519" s="21">
        <f>IF(B519="","",IFERROR(INDEX(Settings!$B$10:$B$21,MATCH(B519,Settings!$A$10:$A$21,0)),4))</f>
        <v/>
      </c>
      <c r="J519" s="22">
        <f>IF(OR(A519="",C519="",I519=""),"",I519*H519*C519/60)</f>
        <v/>
      </c>
    </row>
    <row r="520">
      <c r="A520" s="35" t="n"/>
      <c r="B520" s="33" t="n"/>
      <c r="C520" s="31" t="n"/>
      <c r="D520" s="30" t="n"/>
      <c r="E520" s="33" t="n"/>
      <c r="F520" s="20">
        <f>IF(A520="","",WEEKNUM(A520,21))</f>
        <v/>
      </c>
      <c r="G520" s="21">
        <f>IF(OR(C520="",N(D520)=0),"",C520/D520)</f>
        <v/>
      </c>
      <c r="H520" s="21">
        <f>IF(A520="","",IFERROR(INDEX(Weight!$B$2:$B$1000,MATCH(IF(_xlfn.MAXIFS(Weight!$A$2:$A$1000,Weight!$A$2:$A$1000,"&lt;="&amp;A520)&gt;0,_xlfn.MAXIFS(Weight!$A$2:$A$1000,Weight!$A$2:$A$1000,"&lt;="&amp;A520),_xlfn.MINIFS(Weight!$A$2:$A$1000,Weight!$A$2:$A$1000,"&gt;0")),Weight!$A$2:$A$1000,0)),Settings!$B$6))</f>
        <v/>
      </c>
      <c r="I520" s="21">
        <f>IF(B520="","",IFERROR(INDEX(Settings!$B$10:$B$21,MATCH(B520,Settings!$A$10:$A$21,0)),4))</f>
        <v/>
      </c>
      <c r="J520" s="22">
        <f>IF(OR(A520="",C520="",I520=""),"",I520*H520*C520/60)</f>
        <v/>
      </c>
    </row>
    <row r="521">
      <c r="A521" s="35" t="n"/>
      <c r="B521" s="33" t="n"/>
      <c r="C521" s="31" t="n"/>
      <c r="D521" s="30" t="n"/>
      <c r="E521" s="33" t="n"/>
      <c r="F521" s="20">
        <f>IF(A521="","",WEEKNUM(A521,21))</f>
        <v/>
      </c>
      <c r="G521" s="21">
        <f>IF(OR(C521="",N(D521)=0),"",C521/D521)</f>
        <v/>
      </c>
      <c r="H521" s="21">
        <f>IF(A521="","",IFERROR(INDEX(Weight!$B$2:$B$1000,MATCH(IF(_xlfn.MAXIFS(Weight!$A$2:$A$1000,Weight!$A$2:$A$1000,"&lt;="&amp;A521)&gt;0,_xlfn.MAXIFS(Weight!$A$2:$A$1000,Weight!$A$2:$A$1000,"&lt;="&amp;A521),_xlfn.MINIFS(Weight!$A$2:$A$1000,Weight!$A$2:$A$1000,"&gt;0")),Weight!$A$2:$A$1000,0)),Settings!$B$6))</f>
        <v/>
      </c>
      <c r="I521" s="21">
        <f>IF(B521="","",IFERROR(INDEX(Settings!$B$10:$B$21,MATCH(B521,Settings!$A$10:$A$21,0)),4))</f>
        <v/>
      </c>
      <c r="J521" s="22">
        <f>IF(OR(A521="",C521="",I521=""),"",I521*H521*C521/60)</f>
        <v/>
      </c>
    </row>
    <row r="522">
      <c r="A522" s="35" t="n"/>
      <c r="B522" s="33" t="n"/>
      <c r="C522" s="31" t="n"/>
      <c r="D522" s="30" t="n"/>
      <c r="E522" s="33" t="n"/>
      <c r="F522" s="20">
        <f>IF(A522="","",WEEKNUM(A522,21))</f>
        <v/>
      </c>
      <c r="G522" s="21">
        <f>IF(OR(C522="",N(D522)=0),"",C522/D522)</f>
        <v/>
      </c>
      <c r="H522" s="21">
        <f>IF(A522="","",IFERROR(INDEX(Weight!$B$2:$B$1000,MATCH(IF(_xlfn.MAXIFS(Weight!$A$2:$A$1000,Weight!$A$2:$A$1000,"&lt;="&amp;A522)&gt;0,_xlfn.MAXIFS(Weight!$A$2:$A$1000,Weight!$A$2:$A$1000,"&lt;="&amp;A522),_xlfn.MINIFS(Weight!$A$2:$A$1000,Weight!$A$2:$A$1000,"&gt;0")),Weight!$A$2:$A$1000,0)),Settings!$B$6))</f>
        <v/>
      </c>
      <c r="I522" s="21">
        <f>IF(B522="","",IFERROR(INDEX(Settings!$B$10:$B$21,MATCH(B522,Settings!$A$10:$A$21,0)),4))</f>
        <v/>
      </c>
      <c r="J522" s="22">
        <f>IF(OR(A522="",C522="",I522=""),"",I522*H522*C522/60)</f>
        <v/>
      </c>
    </row>
    <row r="523">
      <c r="A523" s="35" t="n"/>
      <c r="B523" s="33" t="n"/>
      <c r="C523" s="31" t="n"/>
      <c r="D523" s="30" t="n"/>
      <c r="E523" s="33" t="n"/>
      <c r="F523" s="20">
        <f>IF(A523="","",WEEKNUM(A523,21))</f>
        <v/>
      </c>
      <c r="G523" s="21">
        <f>IF(OR(C523="",N(D523)=0),"",C523/D523)</f>
        <v/>
      </c>
      <c r="H523" s="21">
        <f>IF(A523="","",IFERROR(INDEX(Weight!$B$2:$B$1000,MATCH(IF(_xlfn.MAXIFS(Weight!$A$2:$A$1000,Weight!$A$2:$A$1000,"&lt;="&amp;A523)&gt;0,_xlfn.MAXIFS(Weight!$A$2:$A$1000,Weight!$A$2:$A$1000,"&lt;="&amp;A523),_xlfn.MINIFS(Weight!$A$2:$A$1000,Weight!$A$2:$A$1000,"&gt;0")),Weight!$A$2:$A$1000,0)),Settings!$B$6))</f>
        <v/>
      </c>
      <c r="I523" s="21">
        <f>IF(B523="","",IFERROR(INDEX(Settings!$B$10:$B$21,MATCH(B523,Settings!$A$10:$A$21,0)),4))</f>
        <v/>
      </c>
      <c r="J523" s="22">
        <f>IF(OR(A523="",C523="",I523=""),"",I523*H523*C523/60)</f>
        <v/>
      </c>
    </row>
    <row r="524">
      <c r="A524" s="35" t="n"/>
      <c r="B524" s="33" t="n"/>
      <c r="C524" s="31" t="n"/>
      <c r="D524" s="30" t="n"/>
      <c r="E524" s="33" t="n"/>
      <c r="F524" s="20">
        <f>IF(A524="","",WEEKNUM(A524,21))</f>
        <v/>
      </c>
      <c r="G524" s="21">
        <f>IF(OR(C524="",N(D524)=0),"",C524/D524)</f>
        <v/>
      </c>
      <c r="H524" s="21">
        <f>IF(A524="","",IFERROR(INDEX(Weight!$B$2:$B$1000,MATCH(IF(_xlfn.MAXIFS(Weight!$A$2:$A$1000,Weight!$A$2:$A$1000,"&lt;="&amp;A524)&gt;0,_xlfn.MAXIFS(Weight!$A$2:$A$1000,Weight!$A$2:$A$1000,"&lt;="&amp;A524),_xlfn.MINIFS(Weight!$A$2:$A$1000,Weight!$A$2:$A$1000,"&gt;0")),Weight!$A$2:$A$1000,0)),Settings!$B$6))</f>
        <v/>
      </c>
      <c r="I524" s="21">
        <f>IF(B524="","",IFERROR(INDEX(Settings!$B$10:$B$21,MATCH(B524,Settings!$A$10:$A$21,0)),4))</f>
        <v/>
      </c>
      <c r="J524" s="22">
        <f>IF(OR(A524="",C524="",I524=""),"",I524*H524*C524/60)</f>
        <v/>
      </c>
    </row>
    <row r="525">
      <c r="A525" s="35" t="n"/>
      <c r="B525" s="33" t="n"/>
      <c r="C525" s="31" t="n"/>
      <c r="D525" s="30" t="n"/>
      <c r="E525" s="33" t="n"/>
      <c r="F525" s="20">
        <f>IF(A525="","",WEEKNUM(A525,21))</f>
        <v/>
      </c>
      <c r="G525" s="21">
        <f>IF(OR(C525="",N(D525)=0),"",C525/D525)</f>
        <v/>
      </c>
      <c r="H525" s="21">
        <f>IF(A525="","",IFERROR(INDEX(Weight!$B$2:$B$1000,MATCH(IF(_xlfn.MAXIFS(Weight!$A$2:$A$1000,Weight!$A$2:$A$1000,"&lt;="&amp;A525)&gt;0,_xlfn.MAXIFS(Weight!$A$2:$A$1000,Weight!$A$2:$A$1000,"&lt;="&amp;A525),_xlfn.MINIFS(Weight!$A$2:$A$1000,Weight!$A$2:$A$1000,"&gt;0")),Weight!$A$2:$A$1000,0)),Settings!$B$6))</f>
        <v/>
      </c>
      <c r="I525" s="21">
        <f>IF(B525="","",IFERROR(INDEX(Settings!$B$10:$B$21,MATCH(B525,Settings!$A$10:$A$21,0)),4))</f>
        <v/>
      </c>
      <c r="J525" s="22">
        <f>IF(OR(A525="",C525="",I525=""),"",I525*H525*C525/60)</f>
        <v/>
      </c>
    </row>
    <row r="526">
      <c r="A526" s="35" t="n"/>
      <c r="B526" s="33" t="n"/>
      <c r="C526" s="31" t="n"/>
      <c r="D526" s="30" t="n"/>
      <c r="E526" s="33" t="n"/>
      <c r="F526" s="20">
        <f>IF(A526="","",WEEKNUM(A526,21))</f>
        <v/>
      </c>
      <c r="G526" s="21">
        <f>IF(OR(C526="",N(D526)=0),"",C526/D526)</f>
        <v/>
      </c>
      <c r="H526" s="21">
        <f>IF(A526="","",IFERROR(INDEX(Weight!$B$2:$B$1000,MATCH(IF(_xlfn.MAXIFS(Weight!$A$2:$A$1000,Weight!$A$2:$A$1000,"&lt;="&amp;A526)&gt;0,_xlfn.MAXIFS(Weight!$A$2:$A$1000,Weight!$A$2:$A$1000,"&lt;="&amp;A526),_xlfn.MINIFS(Weight!$A$2:$A$1000,Weight!$A$2:$A$1000,"&gt;0")),Weight!$A$2:$A$1000,0)),Settings!$B$6))</f>
        <v/>
      </c>
      <c r="I526" s="21">
        <f>IF(B526="","",IFERROR(INDEX(Settings!$B$10:$B$21,MATCH(B526,Settings!$A$10:$A$21,0)),4))</f>
        <v/>
      </c>
      <c r="J526" s="22">
        <f>IF(OR(A526="",C526="",I526=""),"",I526*H526*C526/60)</f>
        <v/>
      </c>
    </row>
    <row r="527">
      <c r="A527" s="35" t="n"/>
      <c r="B527" s="33" t="n"/>
      <c r="C527" s="31" t="n"/>
      <c r="D527" s="30" t="n"/>
      <c r="E527" s="33" t="n"/>
      <c r="F527" s="20">
        <f>IF(A527="","",WEEKNUM(A527,21))</f>
        <v/>
      </c>
      <c r="G527" s="21">
        <f>IF(OR(C527="",N(D527)=0),"",C527/D527)</f>
        <v/>
      </c>
      <c r="H527" s="21">
        <f>IF(A527="","",IFERROR(INDEX(Weight!$B$2:$B$1000,MATCH(IF(_xlfn.MAXIFS(Weight!$A$2:$A$1000,Weight!$A$2:$A$1000,"&lt;="&amp;A527)&gt;0,_xlfn.MAXIFS(Weight!$A$2:$A$1000,Weight!$A$2:$A$1000,"&lt;="&amp;A527),_xlfn.MINIFS(Weight!$A$2:$A$1000,Weight!$A$2:$A$1000,"&gt;0")),Weight!$A$2:$A$1000,0)),Settings!$B$6))</f>
        <v/>
      </c>
      <c r="I527" s="21">
        <f>IF(B527="","",IFERROR(INDEX(Settings!$B$10:$B$21,MATCH(B527,Settings!$A$10:$A$21,0)),4))</f>
        <v/>
      </c>
      <c r="J527" s="22">
        <f>IF(OR(A527="",C527="",I527=""),"",I527*H527*C527/60)</f>
        <v/>
      </c>
    </row>
    <row r="528">
      <c r="A528" s="35" t="n"/>
      <c r="B528" s="33" t="n"/>
      <c r="C528" s="31" t="n"/>
      <c r="D528" s="30" t="n"/>
      <c r="E528" s="33" t="n"/>
      <c r="F528" s="20">
        <f>IF(A528="","",WEEKNUM(A528,21))</f>
        <v/>
      </c>
      <c r="G528" s="21">
        <f>IF(OR(C528="",N(D528)=0),"",C528/D528)</f>
        <v/>
      </c>
      <c r="H528" s="21">
        <f>IF(A528="","",IFERROR(INDEX(Weight!$B$2:$B$1000,MATCH(IF(_xlfn.MAXIFS(Weight!$A$2:$A$1000,Weight!$A$2:$A$1000,"&lt;="&amp;A528)&gt;0,_xlfn.MAXIFS(Weight!$A$2:$A$1000,Weight!$A$2:$A$1000,"&lt;="&amp;A528),_xlfn.MINIFS(Weight!$A$2:$A$1000,Weight!$A$2:$A$1000,"&gt;0")),Weight!$A$2:$A$1000,0)),Settings!$B$6))</f>
        <v/>
      </c>
      <c r="I528" s="21">
        <f>IF(B528="","",IFERROR(INDEX(Settings!$B$10:$B$21,MATCH(B528,Settings!$A$10:$A$21,0)),4))</f>
        <v/>
      </c>
      <c r="J528" s="22">
        <f>IF(OR(A528="",C528="",I528=""),"",I528*H528*C528/60)</f>
        <v/>
      </c>
    </row>
    <row r="529">
      <c r="A529" s="35" t="n"/>
      <c r="B529" s="33" t="n"/>
      <c r="C529" s="31" t="n"/>
      <c r="D529" s="30" t="n"/>
      <c r="E529" s="33" t="n"/>
      <c r="F529" s="20">
        <f>IF(A529="","",WEEKNUM(A529,21))</f>
        <v/>
      </c>
      <c r="G529" s="21">
        <f>IF(OR(C529="",N(D529)=0),"",C529/D529)</f>
        <v/>
      </c>
      <c r="H529" s="21">
        <f>IF(A529="","",IFERROR(INDEX(Weight!$B$2:$B$1000,MATCH(IF(_xlfn.MAXIFS(Weight!$A$2:$A$1000,Weight!$A$2:$A$1000,"&lt;="&amp;A529)&gt;0,_xlfn.MAXIFS(Weight!$A$2:$A$1000,Weight!$A$2:$A$1000,"&lt;="&amp;A529),_xlfn.MINIFS(Weight!$A$2:$A$1000,Weight!$A$2:$A$1000,"&gt;0")),Weight!$A$2:$A$1000,0)),Settings!$B$6))</f>
        <v/>
      </c>
      <c r="I529" s="21">
        <f>IF(B529="","",IFERROR(INDEX(Settings!$B$10:$B$21,MATCH(B529,Settings!$A$10:$A$21,0)),4))</f>
        <v/>
      </c>
      <c r="J529" s="22">
        <f>IF(OR(A529="",C529="",I529=""),"",I529*H529*C529/60)</f>
        <v/>
      </c>
    </row>
    <row r="530">
      <c r="A530" s="35" t="n"/>
      <c r="B530" s="33" t="n"/>
      <c r="C530" s="31" t="n"/>
      <c r="D530" s="30" t="n"/>
      <c r="E530" s="33" t="n"/>
      <c r="F530" s="20">
        <f>IF(A530="","",WEEKNUM(A530,21))</f>
        <v/>
      </c>
      <c r="G530" s="21">
        <f>IF(OR(C530="",N(D530)=0),"",C530/D530)</f>
        <v/>
      </c>
      <c r="H530" s="21">
        <f>IF(A530="","",IFERROR(INDEX(Weight!$B$2:$B$1000,MATCH(IF(_xlfn.MAXIFS(Weight!$A$2:$A$1000,Weight!$A$2:$A$1000,"&lt;="&amp;A530)&gt;0,_xlfn.MAXIFS(Weight!$A$2:$A$1000,Weight!$A$2:$A$1000,"&lt;="&amp;A530),_xlfn.MINIFS(Weight!$A$2:$A$1000,Weight!$A$2:$A$1000,"&gt;0")),Weight!$A$2:$A$1000,0)),Settings!$B$6))</f>
        <v/>
      </c>
      <c r="I530" s="21">
        <f>IF(B530="","",IFERROR(INDEX(Settings!$B$10:$B$21,MATCH(B530,Settings!$A$10:$A$21,0)),4))</f>
        <v/>
      </c>
      <c r="J530" s="22">
        <f>IF(OR(A530="",C530="",I530=""),"",I530*H530*C530/60)</f>
        <v/>
      </c>
    </row>
    <row r="531">
      <c r="A531" s="35" t="n"/>
      <c r="B531" s="33" t="n"/>
      <c r="C531" s="31" t="n"/>
      <c r="D531" s="30" t="n"/>
      <c r="E531" s="33" t="n"/>
      <c r="F531" s="20">
        <f>IF(A531="","",WEEKNUM(A531,21))</f>
        <v/>
      </c>
      <c r="G531" s="21">
        <f>IF(OR(C531="",N(D531)=0),"",C531/D531)</f>
        <v/>
      </c>
      <c r="H531" s="21">
        <f>IF(A531="","",IFERROR(INDEX(Weight!$B$2:$B$1000,MATCH(IF(_xlfn.MAXIFS(Weight!$A$2:$A$1000,Weight!$A$2:$A$1000,"&lt;="&amp;A531)&gt;0,_xlfn.MAXIFS(Weight!$A$2:$A$1000,Weight!$A$2:$A$1000,"&lt;="&amp;A531),_xlfn.MINIFS(Weight!$A$2:$A$1000,Weight!$A$2:$A$1000,"&gt;0")),Weight!$A$2:$A$1000,0)),Settings!$B$6))</f>
        <v/>
      </c>
      <c r="I531" s="21">
        <f>IF(B531="","",IFERROR(INDEX(Settings!$B$10:$B$21,MATCH(B531,Settings!$A$10:$A$21,0)),4))</f>
        <v/>
      </c>
      <c r="J531" s="22">
        <f>IF(OR(A531="",C531="",I531=""),"",I531*H531*C531/60)</f>
        <v/>
      </c>
    </row>
    <row r="532">
      <c r="A532" s="35" t="n"/>
      <c r="B532" s="33" t="n"/>
      <c r="C532" s="31" t="n"/>
      <c r="D532" s="30" t="n"/>
      <c r="E532" s="33" t="n"/>
      <c r="F532" s="20">
        <f>IF(A532="","",WEEKNUM(A532,21))</f>
        <v/>
      </c>
      <c r="G532" s="21">
        <f>IF(OR(C532="",N(D532)=0),"",C532/D532)</f>
        <v/>
      </c>
      <c r="H532" s="21">
        <f>IF(A532="","",IFERROR(INDEX(Weight!$B$2:$B$1000,MATCH(IF(_xlfn.MAXIFS(Weight!$A$2:$A$1000,Weight!$A$2:$A$1000,"&lt;="&amp;A532)&gt;0,_xlfn.MAXIFS(Weight!$A$2:$A$1000,Weight!$A$2:$A$1000,"&lt;="&amp;A532),_xlfn.MINIFS(Weight!$A$2:$A$1000,Weight!$A$2:$A$1000,"&gt;0")),Weight!$A$2:$A$1000,0)),Settings!$B$6))</f>
        <v/>
      </c>
      <c r="I532" s="21">
        <f>IF(B532="","",IFERROR(INDEX(Settings!$B$10:$B$21,MATCH(B532,Settings!$A$10:$A$21,0)),4))</f>
        <v/>
      </c>
      <c r="J532" s="22">
        <f>IF(OR(A532="",C532="",I532=""),"",I532*H532*C532/60)</f>
        <v/>
      </c>
    </row>
    <row r="533">
      <c r="A533" s="35" t="n"/>
      <c r="B533" s="33" t="n"/>
      <c r="C533" s="31" t="n"/>
      <c r="D533" s="30" t="n"/>
      <c r="E533" s="33" t="n"/>
      <c r="F533" s="20">
        <f>IF(A533="","",WEEKNUM(A533,21))</f>
        <v/>
      </c>
      <c r="G533" s="21">
        <f>IF(OR(C533="",N(D533)=0),"",C533/D533)</f>
        <v/>
      </c>
      <c r="H533" s="21">
        <f>IF(A533="","",IFERROR(INDEX(Weight!$B$2:$B$1000,MATCH(IF(_xlfn.MAXIFS(Weight!$A$2:$A$1000,Weight!$A$2:$A$1000,"&lt;="&amp;A533)&gt;0,_xlfn.MAXIFS(Weight!$A$2:$A$1000,Weight!$A$2:$A$1000,"&lt;="&amp;A533),_xlfn.MINIFS(Weight!$A$2:$A$1000,Weight!$A$2:$A$1000,"&gt;0")),Weight!$A$2:$A$1000,0)),Settings!$B$6))</f>
        <v/>
      </c>
      <c r="I533" s="21">
        <f>IF(B533="","",IFERROR(INDEX(Settings!$B$10:$B$21,MATCH(B533,Settings!$A$10:$A$21,0)),4))</f>
        <v/>
      </c>
      <c r="J533" s="22">
        <f>IF(OR(A533="",C533="",I533=""),"",I533*H533*C533/60)</f>
        <v/>
      </c>
    </row>
    <row r="534">
      <c r="A534" s="35" t="n"/>
      <c r="B534" s="33" t="n"/>
      <c r="C534" s="31" t="n"/>
      <c r="D534" s="30" t="n"/>
      <c r="E534" s="33" t="n"/>
      <c r="F534" s="20">
        <f>IF(A534="","",WEEKNUM(A534,21))</f>
        <v/>
      </c>
      <c r="G534" s="21">
        <f>IF(OR(C534="",N(D534)=0),"",C534/D534)</f>
        <v/>
      </c>
      <c r="H534" s="21">
        <f>IF(A534="","",IFERROR(INDEX(Weight!$B$2:$B$1000,MATCH(IF(_xlfn.MAXIFS(Weight!$A$2:$A$1000,Weight!$A$2:$A$1000,"&lt;="&amp;A534)&gt;0,_xlfn.MAXIFS(Weight!$A$2:$A$1000,Weight!$A$2:$A$1000,"&lt;="&amp;A534),_xlfn.MINIFS(Weight!$A$2:$A$1000,Weight!$A$2:$A$1000,"&gt;0")),Weight!$A$2:$A$1000,0)),Settings!$B$6))</f>
        <v/>
      </c>
      <c r="I534" s="21">
        <f>IF(B534="","",IFERROR(INDEX(Settings!$B$10:$B$21,MATCH(B534,Settings!$A$10:$A$21,0)),4))</f>
        <v/>
      </c>
      <c r="J534" s="22">
        <f>IF(OR(A534="",C534="",I534=""),"",I534*H534*C534/60)</f>
        <v/>
      </c>
    </row>
    <row r="535">
      <c r="A535" s="35" t="n"/>
      <c r="B535" s="33" t="n"/>
      <c r="C535" s="31" t="n"/>
      <c r="D535" s="30" t="n"/>
      <c r="E535" s="33" t="n"/>
      <c r="F535" s="20">
        <f>IF(A535="","",WEEKNUM(A535,21))</f>
        <v/>
      </c>
      <c r="G535" s="21">
        <f>IF(OR(C535="",N(D535)=0),"",C535/D535)</f>
        <v/>
      </c>
      <c r="H535" s="21">
        <f>IF(A535="","",IFERROR(INDEX(Weight!$B$2:$B$1000,MATCH(IF(_xlfn.MAXIFS(Weight!$A$2:$A$1000,Weight!$A$2:$A$1000,"&lt;="&amp;A535)&gt;0,_xlfn.MAXIFS(Weight!$A$2:$A$1000,Weight!$A$2:$A$1000,"&lt;="&amp;A535),_xlfn.MINIFS(Weight!$A$2:$A$1000,Weight!$A$2:$A$1000,"&gt;0")),Weight!$A$2:$A$1000,0)),Settings!$B$6))</f>
        <v/>
      </c>
      <c r="I535" s="21">
        <f>IF(B535="","",IFERROR(INDEX(Settings!$B$10:$B$21,MATCH(B535,Settings!$A$10:$A$21,0)),4))</f>
        <v/>
      </c>
      <c r="J535" s="22">
        <f>IF(OR(A535="",C535="",I535=""),"",I535*H535*C535/60)</f>
        <v/>
      </c>
    </row>
    <row r="536">
      <c r="A536" s="35" t="n"/>
      <c r="B536" s="33" t="n"/>
      <c r="C536" s="31" t="n"/>
      <c r="D536" s="30" t="n"/>
      <c r="E536" s="33" t="n"/>
      <c r="F536" s="20">
        <f>IF(A536="","",WEEKNUM(A536,21))</f>
        <v/>
      </c>
      <c r="G536" s="21">
        <f>IF(OR(C536="",N(D536)=0),"",C536/D536)</f>
        <v/>
      </c>
      <c r="H536" s="21">
        <f>IF(A536="","",IFERROR(INDEX(Weight!$B$2:$B$1000,MATCH(IF(_xlfn.MAXIFS(Weight!$A$2:$A$1000,Weight!$A$2:$A$1000,"&lt;="&amp;A536)&gt;0,_xlfn.MAXIFS(Weight!$A$2:$A$1000,Weight!$A$2:$A$1000,"&lt;="&amp;A536),_xlfn.MINIFS(Weight!$A$2:$A$1000,Weight!$A$2:$A$1000,"&gt;0")),Weight!$A$2:$A$1000,0)),Settings!$B$6))</f>
        <v/>
      </c>
      <c r="I536" s="21">
        <f>IF(B536="","",IFERROR(INDEX(Settings!$B$10:$B$21,MATCH(B536,Settings!$A$10:$A$21,0)),4))</f>
        <v/>
      </c>
      <c r="J536" s="22">
        <f>IF(OR(A536="",C536="",I536=""),"",I536*H536*C536/60)</f>
        <v/>
      </c>
    </row>
    <row r="537">
      <c r="A537" s="35" t="n"/>
      <c r="B537" s="33" t="n"/>
      <c r="C537" s="31" t="n"/>
      <c r="D537" s="30" t="n"/>
      <c r="E537" s="33" t="n"/>
      <c r="F537" s="20">
        <f>IF(A537="","",WEEKNUM(A537,21))</f>
        <v/>
      </c>
      <c r="G537" s="21">
        <f>IF(OR(C537="",N(D537)=0),"",C537/D537)</f>
        <v/>
      </c>
      <c r="H537" s="21">
        <f>IF(A537="","",IFERROR(INDEX(Weight!$B$2:$B$1000,MATCH(IF(_xlfn.MAXIFS(Weight!$A$2:$A$1000,Weight!$A$2:$A$1000,"&lt;="&amp;A537)&gt;0,_xlfn.MAXIFS(Weight!$A$2:$A$1000,Weight!$A$2:$A$1000,"&lt;="&amp;A537),_xlfn.MINIFS(Weight!$A$2:$A$1000,Weight!$A$2:$A$1000,"&gt;0")),Weight!$A$2:$A$1000,0)),Settings!$B$6))</f>
        <v/>
      </c>
      <c r="I537" s="21">
        <f>IF(B537="","",IFERROR(INDEX(Settings!$B$10:$B$21,MATCH(B537,Settings!$A$10:$A$21,0)),4))</f>
        <v/>
      </c>
      <c r="J537" s="22">
        <f>IF(OR(A537="",C537="",I537=""),"",I537*H537*C537/60)</f>
        <v/>
      </c>
    </row>
    <row r="538">
      <c r="A538" s="35" t="n"/>
      <c r="B538" s="33" t="n"/>
      <c r="C538" s="31" t="n"/>
      <c r="D538" s="30" t="n"/>
      <c r="E538" s="33" t="n"/>
      <c r="F538" s="20">
        <f>IF(A538="","",WEEKNUM(A538,21))</f>
        <v/>
      </c>
      <c r="G538" s="21">
        <f>IF(OR(C538="",N(D538)=0),"",C538/D538)</f>
        <v/>
      </c>
      <c r="H538" s="21">
        <f>IF(A538="","",IFERROR(INDEX(Weight!$B$2:$B$1000,MATCH(IF(_xlfn.MAXIFS(Weight!$A$2:$A$1000,Weight!$A$2:$A$1000,"&lt;="&amp;A538)&gt;0,_xlfn.MAXIFS(Weight!$A$2:$A$1000,Weight!$A$2:$A$1000,"&lt;="&amp;A538),_xlfn.MINIFS(Weight!$A$2:$A$1000,Weight!$A$2:$A$1000,"&gt;0")),Weight!$A$2:$A$1000,0)),Settings!$B$6))</f>
        <v/>
      </c>
      <c r="I538" s="21">
        <f>IF(B538="","",IFERROR(INDEX(Settings!$B$10:$B$21,MATCH(B538,Settings!$A$10:$A$21,0)),4))</f>
        <v/>
      </c>
      <c r="J538" s="22">
        <f>IF(OR(A538="",C538="",I538=""),"",I538*H538*C538/60)</f>
        <v/>
      </c>
    </row>
    <row r="539">
      <c r="A539" s="35" t="n"/>
      <c r="B539" s="33" t="n"/>
      <c r="C539" s="31" t="n"/>
      <c r="D539" s="30" t="n"/>
      <c r="E539" s="33" t="n"/>
      <c r="F539" s="20">
        <f>IF(A539="","",WEEKNUM(A539,21))</f>
        <v/>
      </c>
      <c r="G539" s="21">
        <f>IF(OR(C539="",N(D539)=0),"",C539/D539)</f>
        <v/>
      </c>
      <c r="H539" s="21">
        <f>IF(A539="","",IFERROR(INDEX(Weight!$B$2:$B$1000,MATCH(IF(_xlfn.MAXIFS(Weight!$A$2:$A$1000,Weight!$A$2:$A$1000,"&lt;="&amp;A539)&gt;0,_xlfn.MAXIFS(Weight!$A$2:$A$1000,Weight!$A$2:$A$1000,"&lt;="&amp;A539),_xlfn.MINIFS(Weight!$A$2:$A$1000,Weight!$A$2:$A$1000,"&gt;0")),Weight!$A$2:$A$1000,0)),Settings!$B$6))</f>
        <v/>
      </c>
      <c r="I539" s="21">
        <f>IF(B539="","",IFERROR(INDEX(Settings!$B$10:$B$21,MATCH(B539,Settings!$A$10:$A$21,0)),4))</f>
        <v/>
      </c>
      <c r="J539" s="22">
        <f>IF(OR(A539="",C539="",I539=""),"",I539*H539*C539/60)</f>
        <v/>
      </c>
    </row>
    <row r="540">
      <c r="A540" s="35" t="n"/>
      <c r="B540" s="33" t="n"/>
      <c r="C540" s="31" t="n"/>
      <c r="D540" s="30" t="n"/>
      <c r="E540" s="33" t="n"/>
      <c r="F540" s="20">
        <f>IF(A540="","",WEEKNUM(A540,21))</f>
        <v/>
      </c>
      <c r="G540" s="21">
        <f>IF(OR(C540="",N(D540)=0),"",C540/D540)</f>
        <v/>
      </c>
      <c r="H540" s="21">
        <f>IF(A540="","",IFERROR(INDEX(Weight!$B$2:$B$1000,MATCH(IF(_xlfn.MAXIFS(Weight!$A$2:$A$1000,Weight!$A$2:$A$1000,"&lt;="&amp;A540)&gt;0,_xlfn.MAXIFS(Weight!$A$2:$A$1000,Weight!$A$2:$A$1000,"&lt;="&amp;A540),_xlfn.MINIFS(Weight!$A$2:$A$1000,Weight!$A$2:$A$1000,"&gt;0")),Weight!$A$2:$A$1000,0)),Settings!$B$6))</f>
        <v/>
      </c>
      <c r="I540" s="21">
        <f>IF(B540="","",IFERROR(INDEX(Settings!$B$10:$B$21,MATCH(B540,Settings!$A$10:$A$21,0)),4))</f>
        <v/>
      </c>
      <c r="J540" s="22">
        <f>IF(OR(A540="",C540="",I540=""),"",I540*H540*C540/60)</f>
        <v/>
      </c>
    </row>
    <row r="541">
      <c r="A541" s="35" t="n"/>
      <c r="B541" s="33" t="n"/>
      <c r="C541" s="31" t="n"/>
      <c r="D541" s="30" t="n"/>
      <c r="E541" s="33" t="n"/>
      <c r="F541" s="20">
        <f>IF(A541="","",WEEKNUM(A541,21))</f>
        <v/>
      </c>
      <c r="G541" s="21">
        <f>IF(OR(C541="",N(D541)=0),"",C541/D541)</f>
        <v/>
      </c>
      <c r="H541" s="21">
        <f>IF(A541="","",IFERROR(INDEX(Weight!$B$2:$B$1000,MATCH(IF(_xlfn.MAXIFS(Weight!$A$2:$A$1000,Weight!$A$2:$A$1000,"&lt;="&amp;A541)&gt;0,_xlfn.MAXIFS(Weight!$A$2:$A$1000,Weight!$A$2:$A$1000,"&lt;="&amp;A541),_xlfn.MINIFS(Weight!$A$2:$A$1000,Weight!$A$2:$A$1000,"&gt;0")),Weight!$A$2:$A$1000,0)),Settings!$B$6))</f>
        <v/>
      </c>
      <c r="I541" s="21">
        <f>IF(B541="","",IFERROR(INDEX(Settings!$B$10:$B$21,MATCH(B541,Settings!$A$10:$A$21,0)),4))</f>
        <v/>
      </c>
      <c r="J541" s="22">
        <f>IF(OR(A541="",C541="",I541=""),"",I541*H541*C541/60)</f>
        <v/>
      </c>
    </row>
    <row r="542">
      <c r="A542" s="35" t="n"/>
      <c r="B542" s="33" t="n"/>
      <c r="C542" s="31" t="n"/>
      <c r="D542" s="30" t="n"/>
      <c r="E542" s="33" t="n"/>
      <c r="F542" s="20">
        <f>IF(A542="","",WEEKNUM(A542,21))</f>
        <v/>
      </c>
      <c r="G542" s="21">
        <f>IF(OR(C542="",N(D542)=0),"",C542/D542)</f>
        <v/>
      </c>
      <c r="H542" s="21">
        <f>IF(A542="","",IFERROR(INDEX(Weight!$B$2:$B$1000,MATCH(IF(_xlfn.MAXIFS(Weight!$A$2:$A$1000,Weight!$A$2:$A$1000,"&lt;="&amp;A542)&gt;0,_xlfn.MAXIFS(Weight!$A$2:$A$1000,Weight!$A$2:$A$1000,"&lt;="&amp;A542),_xlfn.MINIFS(Weight!$A$2:$A$1000,Weight!$A$2:$A$1000,"&gt;0")),Weight!$A$2:$A$1000,0)),Settings!$B$6))</f>
        <v/>
      </c>
      <c r="I542" s="21">
        <f>IF(B542="","",IFERROR(INDEX(Settings!$B$10:$B$21,MATCH(B542,Settings!$A$10:$A$21,0)),4))</f>
        <v/>
      </c>
      <c r="J542" s="22">
        <f>IF(OR(A542="",C542="",I542=""),"",I542*H542*C542/60)</f>
        <v/>
      </c>
    </row>
    <row r="543">
      <c r="A543" s="35" t="n"/>
      <c r="B543" s="33" t="n"/>
      <c r="C543" s="31" t="n"/>
      <c r="D543" s="30" t="n"/>
      <c r="E543" s="33" t="n"/>
      <c r="F543" s="20">
        <f>IF(A543="","",WEEKNUM(A543,21))</f>
        <v/>
      </c>
      <c r="G543" s="21">
        <f>IF(OR(C543="",N(D543)=0),"",C543/D543)</f>
        <v/>
      </c>
      <c r="H543" s="21">
        <f>IF(A543="","",IFERROR(INDEX(Weight!$B$2:$B$1000,MATCH(IF(_xlfn.MAXIFS(Weight!$A$2:$A$1000,Weight!$A$2:$A$1000,"&lt;="&amp;A543)&gt;0,_xlfn.MAXIFS(Weight!$A$2:$A$1000,Weight!$A$2:$A$1000,"&lt;="&amp;A543),_xlfn.MINIFS(Weight!$A$2:$A$1000,Weight!$A$2:$A$1000,"&gt;0")),Weight!$A$2:$A$1000,0)),Settings!$B$6))</f>
        <v/>
      </c>
      <c r="I543" s="21">
        <f>IF(B543="","",IFERROR(INDEX(Settings!$B$10:$B$21,MATCH(B543,Settings!$A$10:$A$21,0)),4))</f>
        <v/>
      </c>
      <c r="J543" s="22">
        <f>IF(OR(A543="",C543="",I543=""),"",I543*H543*C543/60)</f>
        <v/>
      </c>
    </row>
    <row r="544">
      <c r="A544" s="35" t="n"/>
      <c r="B544" s="33" t="n"/>
      <c r="C544" s="31" t="n"/>
      <c r="D544" s="30" t="n"/>
      <c r="E544" s="33" t="n"/>
      <c r="F544" s="20">
        <f>IF(A544="","",WEEKNUM(A544,21))</f>
        <v/>
      </c>
      <c r="G544" s="21">
        <f>IF(OR(C544="",N(D544)=0),"",C544/D544)</f>
        <v/>
      </c>
      <c r="H544" s="21">
        <f>IF(A544="","",IFERROR(INDEX(Weight!$B$2:$B$1000,MATCH(IF(_xlfn.MAXIFS(Weight!$A$2:$A$1000,Weight!$A$2:$A$1000,"&lt;="&amp;A544)&gt;0,_xlfn.MAXIFS(Weight!$A$2:$A$1000,Weight!$A$2:$A$1000,"&lt;="&amp;A544),_xlfn.MINIFS(Weight!$A$2:$A$1000,Weight!$A$2:$A$1000,"&gt;0")),Weight!$A$2:$A$1000,0)),Settings!$B$6))</f>
        <v/>
      </c>
      <c r="I544" s="21">
        <f>IF(B544="","",IFERROR(INDEX(Settings!$B$10:$B$21,MATCH(B544,Settings!$A$10:$A$21,0)),4))</f>
        <v/>
      </c>
      <c r="J544" s="22">
        <f>IF(OR(A544="",C544="",I544=""),"",I544*H544*C544/60)</f>
        <v/>
      </c>
    </row>
    <row r="545">
      <c r="A545" s="35" t="n"/>
      <c r="B545" s="33" t="n"/>
      <c r="C545" s="31" t="n"/>
      <c r="D545" s="30" t="n"/>
      <c r="E545" s="33" t="n"/>
      <c r="F545" s="20">
        <f>IF(A545="","",WEEKNUM(A545,21))</f>
        <v/>
      </c>
      <c r="G545" s="21">
        <f>IF(OR(C545="",N(D545)=0),"",C545/D545)</f>
        <v/>
      </c>
      <c r="H545" s="21">
        <f>IF(A545="","",IFERROR(INDEX(Weight!$B$2:$B$1000,MATCH(IF(_xlfn.MAXIFS(Weight!$A$2:$A$1000,Weight!$A$2:$A$1000,"&lt;="&amp;A545)&gt;0,_xlfn.MAXIFS(Weight!$A$2:$A$1000,Weight!$A$2:$A$1000,"&lt;="&amp;A545),_xlfn.MINIFS(Weight!$A$2:$A$1000,Weight!$A$2:$A$1000,"&gt;0")),Weight!$A$2:$A$1000,0)),Settings!$B$6))</f>
        <v/>
      </c>
      <c r="I545" s="21">
        <f>IF(B545="","",IFERROR(INDEX(Settings!$B$10:$B$21,MATCH(B545,Settings!$A$10:$A$21,0)),4))</f>
        <v/>
      </c>
      <c r="J545" s="22">
        <f>IF(OR(A545="",C545="",I545=""),"",I545*H545*C545/60)</f>
        <v/>
      </c>
    </row>
    <row r="546">
      <c r="A546" s="35" t="n"/>
      <c r="B546" s="33" t="n"/>
      <c r="C546" s="31" t="n"/>
      <c r="D546" s="30" t="n"/>
      <c r="E546" s="33" t="n"/>
      <c r="F546" s="20">
        <f>IF(A546="","",WEEKNUM(A546,21))</f>
        <v/>
      </c>
      <c r="G546" s="21">
        <f>IF(OR(C546="",N(D546)=0),"",C546/D546)</f>
        <v/>
      </c>
      <c r="H546" s="21">
        <f>IF(A546="","",IFERROR(INDEX(Weight!$B$2:$B$1000,MATCH(IF(_xlfn.MAXIFS(Weight!$A$2:$A$1000,Weight!$A$2:$A$1000,"&lt;="&amp;A546)&gt;0,_xlfn.MAXIFS(Weight!$A$2:$A$1000,Weight!$A$2:$A$1000,"&lt;="&amp;A546),_xlfn.MINIFS(Weight!$A$2:$A$1000,Weight!$A$2:$A$1000,"&gt;0")),Weight!$A$2:$A$1000,0)),Settings!$B$6))</f>
        <v/>
      </c>
      <c r="I546" s="21">
        <f>IF(B546="","",IFERROR(INDEX(Settings!$B$10:$B$21,MATCH(B546,Settings!$A$10:$A$21,0)),4))</f>
        <v/>
      </c>
      <c r="J546" s="22">
        <f>IF(OR(A546="",C546="",I546=""),"",I546*H546*C546/60)</f>
        <v/>
      </c>
    </row>
    <row r="547">
      <c r="A547" s="35" t="n"/>
      <c r="B547" s="33" t="n"/>
      <c r="C547" s="31" t="n"/>
      <c r="D547" s="30" t="n"/>
      <c r="E547" s="33" t="n"/>
      <c r="F547" s="20">
        <f>IF(A547="","",WEEKNUM(A547,21))</f>
        <v/>
      </c>
      <c r="G547" s="21">
        <f>IF(OR(C547="",N(D547)=0),"",C547/D547)</f>
        <v/>
      </c>
      <c r="H547" s="21">
        <f>IF(A547="","",IFERROR(INDEX(Weight!$B$2:$B$1000,MATCH(IF(_xlfn.MAXIFS(Weight!$A$2:$A$1000,Weight!$A$2:$A$1000,"&lt;="&amp;A547)&gt;0,_xlfn.MAXIFS(Weight!$A$2:$A$1000,Weight!$A$2:$A$1000,"&lt;="&amp;A547),_xlfn.MINIFS(Weight!$A$2:$A$1000,Weight!$A$2:$A$1000,"&gt;0")),Weight!$A$2:$A$1000,0)),Settings!$B$6))</f>
        <v/>
      </c>
      <c r="I547" s="21">
        <f>IF(B547="","",IFERROR(INDEX(Settings!$B$10:$B$21,MATCH(B547,Settings!$A$10:$A$21,0)),4))</f>
        <v/>
      </c>
      <c r="J547" s="22">
        <f>IF(OR(A547="",C547="",I547=""),"",I547*H547*C547/60)</f>
        <v/>
      </c>
    </row>
    <row r="548">
      <c r="A548" s="35" t="n"/>
      <c r="B548" s="33" t="n"/>
      <c r="C548" s="31" t="n"/>
      <c r="D548" s="30" t="n"/>
      <c r="E548" s="33" t="n"/>
      <c r="F548" s="20">
        <f>IF(A548="","",WEEKNUM(A548,21))</f>
        <v/>
      </c>
      <c r="G548" s="21">
        <f>IF(OR(C548="",N(D548)=0),"",C548/D548)</f>
        <v/>
      </c>
      <c r="H548" s="21">
        <f>IF(A548="","",IFERROR(INDEX(Weight!$B$2:$B$1000,MATCH(IF(_xlfn.MAXIFS(Weight!$A$2:$A$1000,Weight!$A$2:$A$1000,"&lt;="&amp;A548)&gt;0,_xlfn.MAXIFS(Weight!$A$2:$A$1000,Weight!$A$2:$A$1000,"&lt;="&amp;A548),_xlfn.MINIFS(Weight!$A$2:$A$1000,Weight!$A$2:$A$1000,"&gt;0")),Weight!$A$2:$A$1000,0)),Settings!$B$6))</f>
        <v/>
      </c>
      <c r="I548" s="21">
        <f>IF(B548="","",IFERROR(INDEX(Settings!$B$10:$B$21,MATCH(B548,Settings!$A$10:$A$21,0)),4))</f>
        <v/>
      </c>
      <c r="J548" s="22">
        <f>IF(OR(A548="",C548="",I548=""),"",I548*H548*C548/60)</f>
        <v/>
      </c>
    </row>
    <row r="549">
      <c r="A549" s="35" t="n"/>
      <c r="B549" s="33" t="n"/>
      <c r="C549" s="31" t="n"/>
      <c r="D549" s="30" t="n"/>
      <c r="E549" s="33" t="n"/>
      <c r="F549" s="20">
        <f>IF(A549="","",WEEKNUM(A549,21))</f>
        <v/>
      </c>
      <c r="G549" s="21">
        <f>IF(OR(C549="",N(D549)=0),"",C549/D549)</f>
        <v/>
      </c>
      <c r="H549" s="21">
        <f>IF(A549="","",IFERROR(INDEX(Weight!$B$2:$B$1000,MATCH(IF(_xlfn.MAXIFS(Weight!$A$2:$A$1000,Weight!$A$2:$A$1000,"&lt;="&amp;A549)&gt;0,_xlfn.MAXIFS(Weight!$A$2:$A$1000,Weight!$A$2:$A$1000,"&lt;="&amp;A549),_xlfn.MINIFS(Weight!$A$2:$A$1000,Weight!$A$2:$A$1000,"&gt;0")),Weight!$A$2:$A$1000,0)),Settings!$B$6))</f>
        <v/>
      </c>
      <c r="I549" s="21">
        <f>IF(B549="","",IFERROR(INDEX(Settings!$B$10:$B$21,MATCH(B549,Settings!$A$10:$A$21,0)),4))</f>
        <v/>
      </c>
      <c r="J549" s="22">
        <f>IF(OR(A549="",C549="",I549=""),"",I549*H549*C549/60)</f>
        <v/>
      </c>
    </row>
    <row r="550">
      <c r="A550" s="35" t="n"/>
      <c r="B550" s="33" t="n"/>
      <c r="C550" s="31" t="n"/>
      <c r="D550" s="30" t="n"/>
      <c r="E550" s="33" t="n"/>
      <c r="F550" s="20">
        <f>IF(A550="","",WEEKNUM(A550,21))</f>
        <v/>
      </c>
      <c r="G550" s="21">
        <f>IF(OR(C550="",N(D550)=0),"",C550/D550)</f>
        <v/>
      </c>
      <c r="H550" s="21">
        <f>IF(A550="","",IFERROR(INDEX(Weight!$B$2:$B$1000,MATCH(IF(_xlfn.MAXIFS(Weight!$A$2:$A$1000,Weight!$A$2:$A$1000,"&lt;="&amp;A550)&gt;0,_xlfn.MAXIFS(Weight!$A$2:$A$1000,Weight!$A$2:$A$1000,"&lt;="&amp;A550),_xlfn.MINIFS(Weight!$A$2:$A$1000,Weight!$A$2:$A$1000,"&gt;0")),Weight!$A$2:$A$1000,0)),Settings!$B$6))</f>
        <v/>
      </c>
      <c r="I550" s="21">
        <f>IF(B550="","",IFERROR(INDEX(Settings!$B$10:$B$21,MATCH(B550,Settings!$A$10:$A$21,0)),4))</f>
        <v/>
      </c>
      <c r="J550" s="22">
        <f>IF(OR(A550="",C550="",I550=""),"",I550*H550*C550/60)</f>
        <v/>
      </c>
    </row>
    <row r="551">
      <c r="A551" s="35" t="n"/>
      <c r="B551" s="33" t="n"/>
      <c r="C551" s="31" t="n"/>
      <c r="D551" s="30" t="n"/>
      <c r="E551" s="33" t="n"/>
      <c r="F551" s="20">
        <f>IF(A551="","",WEEKNUM(A551,21))</f>
        <v/>
      </c>
      <c r="G551" s="21">
        <f>IF(OR(C551="",N(D551)=0),"",C551/D551)</f>
        <v/>
      </c>
      <c r="H551" s="21">
        <f>IF(A551="","",IFERROR(INDEX(Weight!$B$2:$B$1000,MATCH(IF(_xlfn.MAXIFS(Weight!$A$2:$A$1000,Weight!$A$2:$A$1000,"&lt;="&amp;A551)&gt;0,_xlfn.MAXIFS(Weight!$A$2:$A$1000,Weight!$A$2:$A$1000,"&lt;="&amp;A551),_xlfn.MINIFS(Weight!$A$2:$A$1000,Weight!$A$2:$A$1000,"&gt;0")),Weight!$A$2:$A$1000,0)),Settings!$B$6))</f>
        <v/>
      </c>
      <c r="I551" s="21">
        <f>IF(B551="","",IFERROR(INDEX(Settings!$B$10:$B$21,MATCH(B551,Settings!$A$10:$A$21,0)),4))</f>
        <v/>
      </c>
      <c r="J551" s="22">
        <f>IF(OR(A551="",C551="",I551=""),"",I551*H551*C551/60)</f>
        <v/>
      </c>
    </row>
    <row r="552">
      <c r="A552" s="35" t="n"/>
      <c r="B552" s="33" t="n"/>
      <c r="C552" s="31" t="n"/>
      <c r="D552" s="30" t="n"/>
      <c r="E552" s="33" t="n"/>
      <c r="F552" s="20">
        <f>IF(A552="","",WEEKNUM(A552,21))</f>
        <v/>
      </c>
      <c r="G552" s="21">
        <f>IF(OR(C552="",N(D552)=0),"",C552/D552)</f>
        <v/>
      </c>
      <c r="H552" s="21">
        <f>IF(A552="","",IFERROR(INDEX(Weight!$B$2:$B$1000,MATCH(IF(_xlfn.MAXIFS(Weight!$A$2:$A$1000,Weight!$A$2:$A$1000,"&lt;="&amp;A552)&gt;0,_xlfn.MAXIFS(Weight!$A$2:$A$1000,Weight!$A$2:$A$1000,"&lt;="&amp;A552),_xlfn.MINIFS(Weight!$A$2:$A$1000,Weight!$A$2:$A$1000,"&gt;0")),Weight!$A$2:$A$1000,0)),Settings!$B$6))</f>
        <v/>
      </c>
      <c r="I552" s="21">
        <f>IF(B552="","",IFERROR(INDEX(Settings!$B$10:$B$21,MATCH(B552,Settings!$A$10:$A$21,0)),4))</f>
        <v/>
      </c>
      <c r="J552" s="22">
        <f>IF(OR(A552="",C552="",I552=""),"",I552*H552*C552/60)</f>
        <v/>
      </c>
    </row>
    <row r="553">
      <c r="A553" s="35" t="n"/>
      <c r="B553" s="33" t="n"/>
      <c r="C553" s="31" t="n"/>
      <c r="D553" s="30" t="n"/>
      <c r="E553" s="33" t="n"/>
      <c r="F553" s="20">
        <f>IF(A553="","",WEEKNUM(A553,21))</f>
        <v/>
      </c>
      <c r="G553" s="21">
        <f>IF(OR(C553="",N(D553)=0),"",C553/D553)</f>
        <v/>
      </c>
      <c r="H553" s="21">
        <f>IF(A553="","",IFERROR(INDEX(Weight!$B$2:$B$1000,MATCH(IF(_xlfn.MAXIFS(Weight!$A$2:$A$1000,Weight!$A$2:$A$1000,"&lt;="&amp;A553)&gt;0,_xlfn.MAXIFS(Weight!$A$2:$A$1000,Weight!$A$2:$A$1000,"&lt;="&amp;A553),_xlfn.MINIFS(Weight!$A$2:$A$1000,Weight!$A$2:$A$1000,"&gt;0")),Weight!$A$2:$A$1000,0)),Settings!$B$6))</f>
        <v/>
      </c>
      <c r="I553" s="21">
        <f>IF(B553="","",IFERROR(INDEX(Settings!$B$10:$B$21,MATCH(B553,Settings!$A$10:$A$21,0)),4))</f>
        <v/>
      </c>
      <c r="J553" s="22">
        <f>IF(OR(A553="",C553="",I553=""),"",I553*H553*C553/60)</f>
        <v/>
      </c>
    </row>
    <row r="554">
      <c r="A554" s="35" t="n"/>
      <c r="B554" s="33" t="n"/>
      <c r="C554" s="31" t="n"/>
      <c r="D554" s="30" t="n"/>
      <c r="E554" s="33" t="n"/>
      <c r="F554" s="20">
        <f>IF(A554="","",WEEKNUM(A554,21))</f>
        <v/>
      </c>
      <c r="G554" s="21">
        <f>IF(OR(C554="",N(D554)=0),"",C554/D554)</f>
        <v/>
      </c>
      <c r="H554" s="21">
        <f>IF(A554="","",IFERROR(INDEX(Weight!$B$2:$B$1000,MATCH(IF(_xlfn.MAXIFS(Weight!$A$2:$A$1000,Weight!$A$2:$A$1000,"&lt;="&amp;A554)&gt;0,_xlfn.MAXIFS(Weight!$A$2:$A$1000,Weight!$A$2:$A$1000,"&lt;="&amp;A554),_xlfn.MINIFS(Weight!$A$2:$A$1000,Weight!$A$2:$A$1000,"&gt;0")),Weight!$A$2:$A$1000,0)),Settings!$B$6))</f>
        <v/>
      </c>
      <c r="I554" s="21">
        <f>IF(B554="","",IFERROR(INDEX(Settings!$B$10:$B$21,MATCH(B554,Settings!$A$10:$A$21,0)),4))</f>
        <v/>
      </c>
      <c r="J554" s="22">
        <f>IF(OR(A554="",C554="",I554=""),"",I554*H554*C554/60)</f>
        <v/>
      </c>
    </row>
    <row r="555">
      <c r="A555" s="35" t="n"/>
      <c r="B555" s="33" t="n"/>
      <c r="C555" s="31" t="n"/>
      <c r="D555" s="30" t="n"/>
      <c r="E555" s="33" t="n"/>
      <c r="F555" s="20">
        <f>IF(A555="","",WEEKNUM(A555,21))</f>
        <v/>
      </c>
      <c r="G555" s="21">
        <f>IF(OR(C555="",N(D555)=0),"",C555/D555)</f>
        <v/>
      </c>
      <c r="H555" s="21">
        <f>IF(A555="","",IFERROR(INDEX(Weight!$B$2:$B$1000,MATCH(IF(_xlfn.MAXIFS(Weight!$A$2:$A$1000,Weight!$A$2:$A$1000,"&lt;="&amp;A555)&gt;0,_xlfn.MAXIFS(Weight!$A$2:$A$1000,Weight!$A$2:$A$1000,"&lt;="&amp;A555),_xlfn.MINIFS(Weight!$A$2:$A$1000,Weight!$A$2:$A$1000,"&gt;0")),Weight!$A$2:$A$1000,0)),Settings!$B$6))</f>
        <v/>
      </c>
      <c r="I555" s="21">
        <f>IF(B555="","",IFERROR(INDEX(Settings!$B$10:$B$21,MATCH(B555,Settings!$A$10:$A$21,0)),4))</f>
        <v/>
      </c>
      <c r="J555" s="22">
        <f>IF(OR(A555="",C555="",I555=""),"",I555*H555*C555/60)</f>
        <v/>
      </c>
    </row>
    <row r="556">
      <c r="A556" s="35" t="n"/>
      <c r="B556" s="33" t="n"/>
      <c r="C556" s="31" t="n"/>
      <c r="D556" s="30" t="n"/>
      <c r="E556" s="33" t="n"/>
      <c r="F556" s="20">
        <f>IF(A556="","",WEEKNUM(A556,21))</f>
        <v/>
      </c>
      <c r="G556" s="21">
        <f>IF(OR(C556="",N(D556)=0),"",C556/D556)</f>
        <v/>
      </c>
      <c r="H556" s="21">
        <f>IF(A556="","",IFERROR(INDEX(Weight!$B$2:$B$1000,MATCH(IF(_xlfn.MAXIFS(Weight!$A$2:$A$1000,Weight!$A$2:$A$1000,"&lt;="&amp;A556)&gt;0,_xlfn.MAXIFS(Weight!$A$2:$A$1000,Weight!$A$2:$A$1000,"&lt;="&amp;A556),_xlfn.MINIFS(Weight!$A$2:$A$1000,Weight!$A$2:$A$1000,"&gt;0")),Weight!$A$2:$A$1000,0)),Settings!$B$6))</f>
        <v/>
      </c>
      <c r="I556" s="21">
        <f>IF(B556="","",IFERROR(INDEX(Settings!$B$10:$B$21,MATCH(B556,Settings!$A$10:$A$21,0)),4))</f>
        <v/>
      </c>
      <c r="J556" s="22">
        <f>IF(OR(A556="",C556="",I556=""),"",I556*H556*C556/60)</f>
        <v/>
      </c>
    </row>
    <row r="557">
      <c r="A557" s="35" t="n"/>
      <c r="B557" s="33" t="n"/>
      <c r="C557" s="31" t="n"/>
      <c r="D557" s="30" t="n"/>
      <c r="E557" s="33" t="n"/>
      <c r="F557" s="20">
        <f>IF(A557="","",WEEKNUM(A557,21))</f>
        <v/>
      </c>
      <c r="G557" s="21">
        <f>IF(OR(C557="",N(D557)=0),"",C557/D557)</f>
        <v/>
      </c>
      <c r="H557" s="21">
        <f>IF(A557="","",IFERROR(INDEX(Weight!$B$2:$B$1000,MATCH(IF(_xlfn.MAXIFS(Weight!$A$2:$A$1000,Weight!$A$2:$A$1000,"&lt;="&amp;A557)&gt;0,_xlfn.MAXIFS(Weight!$A$2:$A$1000,Weight!$A$2:$A$1000,"&lt;="&amp;A557),_xlfn.MINIFS(Weight!$A$2:$A$1000,Weight!$A$2:$A$1000,"&gt;0")),Weight!$A$2:$A$1000,0)),Settings!$B$6))</f>
        <v/>
      </c>
      <c r="I557" s="21">
        <f>IF(B557="","",IFERROR(INDEX(Settings!$B$10:$B$21,MATCH(B557,Settings!$A$10:$A$21,0)),4))</f>
        <v/>
      </c>
      <c r="J557" s="22">
        <f>IF(OR(A557="",C557="",I557=""),"",I557*H557*C557/60)</f>
        <v/>
      </c>
    </row>
    <row r="558">
      <c r="A558" s="35" t="n"/>
      <c r="B558" s="33" t="n"/>
      <c r="C558" s="31" t="n"/>
      <c r="D558" s="30" t="n"/>
      <c r="E558" s="33" t="n"/>
      <c r="F558" s="20">
        <f>IF(A558="","",WEEKNUM(A558,21))</f>
        <v/>
      </c>
      <c r="G558" s="21">
        <f>IF(OR(C558="",N(D558)=0),"",C558/D558)</f>
        <v/>
      </c>
      <c r="H558" s="21">
        <f>IF(A558="","",IFERROR(INDEX(Weight!$B$2:$B$1000,MATCH(IF(_xlfn.MAXIFS(Weight!$A$2:$A$1000,Weight!$A$2:$A$1000,"&lt;="&amp;A558)&gt;0,_xlfn.MAXIFS(Weight!$A$2:$A$1000,Weight!$A$2:$A$1000,"&lt;="&amp;A558),_xlfn.MINIFS(Weight!$A$2:$A$1000,Weight!$A$2:$A$1000,"&gt;0")),Weight!$A$2:$A$1000,0)),Settings!$B$6))</f>
        <v/>
      </c>
      <c r="I558" s="21">
        <f>IF(B558="","",IFERROR(INDEX(Settings!$B$10:$B$21,MATCH(B558,Settings!$A$10:$A$21,0)),4))</f>
        <v/>
      </c>
      <c r="J558" s="22">
        <f>IF(OR(A558="",C558="",I558=""),"",I558*H558*C558/60)</f>
        <v/>
      </c>
    </row>
    <row r="559">
      <c r="A559" s="35" t="n"/>
      <c r="B559" s="33" t="n"/>
      <c r="C559" s="31" t="n"/>
      <c r="D559" s="30" t="n"/>
      <c r="E559" s="33" t="n"/>
      <c r="F559" s="20">
        <f>IF(A559="","",WEEKNUM(A559,21))</f>
        <v/>
      </c>
      <c r="G559" s="21">
        <f>IF(OR(C559="",N(D559)=0),"",C559/D559)</f>
        <v/>
      </c>
      <c r="H559" s="21">
        <f>IF(A559="","",IFERROR(INDEX(Weight!$B$2:$B$1000,MATCH(IF(_xlfn.MAXIFS(Weight!$A$2:$A$1000,Weight!$A$2:$A$1000,"&lt;="&amp;A559)&gt;0,_xlfn.MAXIFS(Weight!$A$2:$A$1000,Weight!$A$2:$A$1000,"&lt;="&amp;A559),_xlfn.MINIFS(Weight!$A$2:$A$1000,Weight!$A$2:$A$1000,"&gt;0")),Weight!$A$2:$A$1000,0)),Settings!$B$6))</f>
        <v/>
      </c>
      <c r="I559" s="21">
        <f>IF(B559="","",IFERROR(INDEX(Settings!$B$10:$B$21,MATCH(B559,Settings!$A$10:$A$21,0)),4))</f>
        <v/>
      </c>
      <c r="J559" s="22">
        <f>IF(OR(A559="",C559="",I559=""),"",I559*H559*C559/60)</f>
        <v/>
      </c>
    </row>
    <row r="560">
      <c r="A560" s="35" t="n"/>
      <c r="B560" s="33" t="n"/>
      <c r="C560" s="31" t="n"/>
      <c r="D560" s="30" t="n"/>
      <c r="E560" s="33" t="n"/>
      <c r="F560" s="20">
        <f>IF(A560="","",WEEKNUM(A560,21))</f>
        <v/>
      </c>
      <c r="G560" s="21">
        <f>IF(OR(C560="",N(D560)=0),"",C560/D560)</f>
        <v/>
      </c>
      <c r="H560" s="21">
        <f>IF(A560="","",IFERROR(INDEX(Weight!$B$2:$B$1000,MATCH(IF(_xlfn.MAXIFS(Weight!$A$2:$A$1000,Weight!$A$2:$A$1000,"&lt;="&amp;A560)&gt;0,_xlfn.MAXIFS(Weight!$A$2:$A$1000,Weight!$A$2:$A$1000,"&lt;="&amp;A560),_xlfn.MINIFS(Weight!$A$2:$A$1000,Weight!$A$2:$A$1000,"&gt;0")),Weight!$A$2:$A$1000,0)),Settings!$B$6))</f>
        <v/>
      </c>
      <c r="I560" s="21">
        <f>IF(B560="","",IFERROR(INDEX(Settings!$B$10:$B$21,MATCH(B560,Settings!$A$10:$A$21,0)),4))</f>
        <v/>
      </c>
      <c r="J560" s="22">
        <f>IF(OR(A560="",C560="",I560=""),"",I560*H560*C560/60)</f>
        <v/>
      </c>
    </row>
    <row r="561">
      <c r="A561" s="35" t="n"/>
      <c r="B561" s="33" t="n"/>
      <c r="C561" s="31" t="n"/>
      <c r="D561" s="30" t="n"/>
      <c r="E561" s="33" t="n"/>
      <c r="F561" s="20">
        <f>IF(A561="","",WEEKNUM(A561,21))</f>
        <v/>
      </c>
      <c r="G561" s="21">
        <f>IF(OR(C561="",N(D561)=0),"",C561/D561)</f>
        <v/>
      </c>
      <c r="H561" s="21">
        <f>IF(A561="","",IFERROR(INDEX(Weight!$B$2:$B$1000,MATCH(IF(_xlfn.MAXIFS(Weight!$A$2:$A$1000,Weight!$A$2:$A$1000,"&lt;="&amp;A561)&gt;0,_xlfn.MAXIFS(Weight!$A$2:$A$1000,Weight!$A$2:$A$1000,"&lt;="&amp;A561),_xlfn.MINIFS(Weight!$A$2:$A$1000,Weight!$A$2:$A$1000,"&gt;0")),Weight!$A$2:$A$1000,0)),Settings!$B$6))</f>
        <v/>
      </c>
      <c r="I561" s="21">
        <f>IF(B561="","",IFERROR(INDEX(Settings!$B$10:$B$21,MATCH(B561,Settings!$A$10:$A$21,0)),4))</f>
        <v/>
      </c>
      <c r="J561" s="22">
        <f>IF(OR(A561="",C561="",I561=""),"",I561*H561*C561/60)</f>
        <v/>
      </c>
    </row>
    <row r="562">
      <c r="A562" s="35" t="n"/>
      <c r="B562" s="33" t="n"/>
      <c r="C562" s="31" t="n"/>
      <c r="D562" s="30" t="n"/>
      <c r="E562" s="33" t="n"/>
      <c r="F562" s="20">
        <f>IF(A562="","",WEEKNUM(A562,21))</f>
        <v/>
      </c>
      <c r="G562" s="21">
        <f>IF(OR(C562="",N(D562)=0),"",C562/D562)</f>
        <v/>
      </c>
      <c r="H562" s="21">
        <f>IF(A562="","",IFERROR(INDEX(Weight!$B$2:$B$1000,MATCH(IF(_xlfn.MAXIFS(Weight!$A$2:$A$1000,Weight!$A$2:$A$1000,"&lt;="&amp;A562)&gt;0,_xlfn.MAXIFS(Weight!$A$2:$A$1000,Weight!$A$2:$A$1000,"&lt;="&amp;A562),_xlfn.MINIFS(Weight!$A$2:$A$1000,Weight!$A$2:$A$1000,"&gt;0")),Weight!$A$2:$A$1000,0)),Settings!$B$6))</f>
        <v/>
      </c>
      <c r="I562" s="21">
        <f>IF(B562="","",IFERROR(INDEX(Settings!$B$10:$B$21,MATCH(B562,Settings!$A$10:$A$21,0)),4))</f>
        <v/>
      </c>
      <c r="J562" s="22">
        <f>IF(OR(A562="",C562="",I562=""),"",I562*H562*C562/60)</f>
        <v/>
      </c>
    </row>
    <row r="563">
      <c r="A563" s="35" t="n"/>
      <c r="B563" s="33" t="n"/>
      <c r="C563" s="31" t="n"/>
      <c r="D563" s="30" t="n"/>
      <c r="E563" s="33" t="n"/>
      <c r="F563" s="20">
        <f>IF(A563="","",WEEKNUM(A563,21))</f>
        <v/>
      </c>
      <c r="G563" s="21">
        <f>IF(OR(C563="",N(D563)=0),"",C563/D563)</f>
        <v/>
      </c>
      <c r="H563" s="21">
        <f>IF(A563="","",IFERROR(INDEX(Weight!$B$2:$B$1000,MATCH(IF(_xlfn.MAXIFS(Weight!$A$2:$A$1000,Weight!$A$2:$A$1000,"&lt;="&amp;A563)&gt;0,_xlfn.MAXIFS(Weight!$A$2:$A$1000,Weight!$A$2:$A$1000,"&lt;="&amp;A563),_xlfn.MINIFS(Weight!$A$2:$A$1000,Weight!$A$2:$A$1000,"&gt;0")),Weight!$A$2:$A$1000,0)),Settings!$B$6))</f>
        <v/>
      </c>
      <c r="I563" s="21">
        <f>IF(B563="","",IFERROR(INDEX(Settings!$B$10:$B$21,MATCH(B563,Settings!$A$10:$A$21,0)),4))</f>
        <v/>
      </c>
      <c r="J563" s="22">
        <f>IF(OR(A563="",C563="",I563=""),"",I563*H563*C563/60)</f>
        <v/>
      </c>
    </row>
    <row r="564">
      <c r="A564" s="35" t="n"/>
      <c r="B564" s="33" t="n"/>
      <c r="C564" s="31" t="n"/>
      <c r="D564" s="30" t="n"/>
      <c r="E564" s="33" t="n"/>
      <c r="F564" s="20">
        <f>IF(A564="","",WEEKNUM(A564,21))</f>
        <v/>
      </c>
      <c r="G564" s="21">
        <f>IF(OR(C564="",N(D564)=0),"",C564/D564)</f>
        <v/>
      </c>
      <c r="H564" s="21">
        <f>IF(A564="","",IFERROR(INDEX(Weight!$B$2:$B$1000,MATCH(IF(_xlfn.MAXIFS(Weight!$A$2:$A$1000,Weight!$A$2:$A$1000,"&lt;="&amp;A564)&gt;0,_xlfn.MAXIFS(Weight!$A$2:$A$1000,Weight!$A$2:$A$1000,"&lt;="&amp;A564),_xlfn.MINIFS(Weight!$A$2:$A$1000,Weight!$A$2:$A$1000,"&gt;0")),Weight!$A$2:$A$1000,0)),Settings!$B$6))</f>
        <v/>
      </c>
      <c r="I564" s="21">
        <f>IF(B564="","",IFERROR(INDEX(Settings!$B$10:$B$21,MATCH(B564,Settings!$A$10:$A$21,0)),4))</f>
        <v/>
      </c>
      <c r="J564" s="22">
        <f>IF(OR(A564="",C564="",I564=""),"",I564*H564*C564/60)</f>
        <v/>
      </c>
    </row>
    <row r="565">
      <c r="A565" s="35" t="n"/>
      <c r="B565" s="33" t="n"/>
      <c r="C565" s="31" t="n"/>
      <c r="D565" s="30" t="n"/>
      <c r="E565" s="33" t="n"/>
      <c r="F565" s="20">
        <f>IF(A565="","",WEEKNUM(A565,21))</f>
        <v/>
      </c>
      <c r="G565" s="21">
        <f>IF(OR(C565="",N(D565)=0),"",C565/D565)</f>
        <v/>
      </c>
      <c r="H565" s="21">
        <f>IF(A565="","",IFERROR(INDEX(Weight!$B$2:$B$1000,MATCH(IF(_xlfn.MAXIFS(Weight!$A$2:$A$1000,Weight!$A$2:$A$1000,"&lt;="&amp;A565)&gt;0,_xlfn.MAXIFS(Weight!$A$2:$A$1000,Weight!$A$2:$A$1000,"&lt;="&amp;A565),_xlfn.MINIFS(Weight!$A$2:$A$1000,Weight!$A$2:$A$1000,"&gt;0")),Weight!$A$2:$A$1000,0)),Settings!$B$6))</f>
        <v/>
      </c>
      <c r="I565" s="21">
        <f>IF(B565="","",IFERROR(INDEX(Settings!$B$10:$B$21,MATCH(B565,Settings!$A$10:$A$21,0)),4))</f>
        <v/>
      </c>
      <c r="J565" s="22">
        <f>IF(OR(A565="",C565="",I565=""),"",I565*H565*C565/60)</f>
        <v/>
      </c>
    </row>
    <row r="566">
      <c r="A566" s="35" t="n"/>
      <c r="B566" s="33" t="n"/>
      <c r="C566" s="31" t="n"/>
      <c r="D566" s="30" t="n"/>
      <c r="E566" s="33" t="n"/>
      <c r="F566" s="20">
        <f>IF(A566="","",WEEKNUM(A566,21))</f>
        <v/>
      </c>
      <c r="G566" s="21">
        <f>IF(OR(C566="",N(D566)=0),"",C566/D566)</f>
        <v/>
      </c>
      <c r="H566" s="21">
        <f>IF(A566="","",IFERROR(INDEX(Weight!$B$2:$B$1000,MATCH(IF(_xlfn.MAXIFS(Weight!$A$2:$A$1000,Weight!$A$2:$A$1000,"&lt;="&amp;A566)&gt;0,_xlfn.MAXIFS(Weight!$A$2:$A$1000,Weight!$A$2:$A$1000,"&lt;="&amp;A566),_xlfn.MINIFS(Weight!$A$2:$A$1000,Weight!$A$2:$A$1000,"&gt;0")),Weight!$A$2:$A$1000,0)),Settings!$B$6))</f>
        <v/>
      </c>
      <c r="I566" s="21">
        <f>IF(B566="","",IFERROR(INDEX(Settings!$B$10:$B$21,MATCH(B566,Settings!$A$10:$A$21,0)),4))</f>
        <v/>
      </c>
      <c r="J566" s="22">
        <f>IF(OR(A566="",C566="",I566=""),"",I566*H566*C566/60)</f>
        <v/>
      </c>
    </row>
    <row r="567">
      <c r="A567" s="35" t="n"/>
      <c r="B567" s="33" t="n"/>
      <c r="C567" s="31" t="n"/>
      <c r="D567" s="30" t="n"/>
      <c r="E567" s="33" t="n"/>
      <c r="F567" s="20">
        <f>IF(A567="","",WEEKNUM(A567,21))</f>
        <v/>
      </c>
      <c r="G567" s="21">
        <f>IF(OR(C567="",N(D567)=0),"",C567/D567)</f>
        <v/>
      </c>
      <c r="H567" s="21">
        <f>IF(A567="","",IFERROR(INDEX(Weight!$B$2:$B$1000,MATCH(IF(_xlfn.MAXIFS(Weight!$A$2:$A$1000,Weight!$A$2:$A$1000,"&lt;="&amp;A567)&gt;0,_xlfn.MAXIFS(Weight!$A$2:$A$1000,Weight!$A$2:$A$1000,"&lt;="&amp;A567),_xlfn.MINIFS(Weight!$A$2:$A$1000,Weight!$A$2:$A$1000,"&gt;0")),Weight!$A$2:$A$1000,0)),Settings!$B$6))</f>
        <v/>
      </c>
      <c r="I567" s="21">
        <f>IF(B567="","",IFERROR(INDEX(Settings!$B$10:$B$21,MATCH(B567,Settings!$A$10:$A$21,0)),4))</f>
        <v/>
      </c>
      <c r="J567" s="22">
        <f>IF(OR(A567="",C567="",I567=""),"",I567*H567*C567/60)</f>
        <v/>
      </c>
    </row>
    <row r="568">
      <c r="A568" s="35" t="n"/>
      <c r="B568" s="33" t="n"/>
      <c r="C568" s="31" t="n"/>
      <c r="D568" s="30" t="n"/>
      <c r="E568" s="33" t="n"/>
      <c r="F568" s="20">
        <f>IF(A568="","",WEEKNUM(A568,21))</f>
        <v/>
      </c>
      <c r="G568" s="21">
        <f>IF(OR(C568="",N(D568)=0),"",C568/D568)</f>
        <v/>
      </c>
      <c r="H568" s="21">
        <f>IF(A568="","",IFERROR(INDEX(Weight!$B$2:$B$1000,MATCH(IF(_xlfn.MAXIFS(Weight!$A$2:$A$1000,Weight!$A$2:$A$1000,"&lt;="&amp;A568)&gt;0,_xlfn.MAXIFS(Weight!$A$2:$A$1000,Weight!$A$2:$A$1000,"&lt;="&amp;A568),_xlfn.MINIFS(Weight!$A$2:$A$1000,Weight!$A$2:$A$1000,"&gt;0")),Weight!$A$2:$A$1000,0)),Settings!$B$6))</f>
        <v/>
      </c>
      <c r="I568" s="21">
        <f>IF(B568="","",IFERROR(INDEX(Settings!$B$10:$B$21,MATCH(B568,Settings!$A$10:$A$21,0)),4))</f>
        <v/>
      </c>
      <c r="J568" s="22">
        <f>IF(OR(A568="",C568="",I568=""),"",I568*H568*C568/60)</f>
        <v/>
      </c>
    </row>
    <row r="569">
      <c r="A569" s="35" t="n"/>
      <c r="B569" s="33" t="n"/>
      <c r="C569" s="31" t="n"/>
      <c r="D569" s="30" t="n"/>
      <c r="E569" s="33" t="n"/>
      <c r="F569" s="20">
        <f>IF(A569="","",WEEKNUM(A569,21))</f>
        <v/>
      </c>
      <c r="G569" s="21">
        <f>IF(OR(C569="",N(D569)=0),"",C569/D569)</f>
        <v/>
      </c>
      <c r="H569" s="21">
        <f>IF(A569="","",IFERROR(INDEX(Weight!$B$2:$B$1000,MATCH(IF(_xlfn.MAXIFS(Weight!$A$2:$A$1000,Weight!$A$2:$A$1000,"&lt;="&amp;A569)&gt;0,_xlfn.MAXIFS(Weight!$A$2:$A$1000,Weight!$A$2:$A$1000,"&lt;="&amp;A569),_xlfn.MINIFS(Weight!$A$2:$A$1000,Weight!$A$2:$A$1000,"&gt;0")),Weight!$A$2:$A$1000,0)),Settings!$B$6))</f>
        <v/>
      </c>
      <c r="I569" s="21">
        <f>IF(B569="","",IFERROR(INDEX(Settings!$B$10:$B$21,MATCH(B569,Settings!$A$10:$A$21,0)),4))</f>
        <v/>
      </c>
      <c r="J569" s="22">
        <f>IF(OR(A569="",C569="",I569=""),"",I569*H569*C569/60)</f>
        <v/>
      </c>
    </row>
    <row r="570">
      <c r="A570" s="35" t="n"/>
      <c r="B570" s="33" t="n"/>
      <c r="C570" s="31" t="n"/>
      <c r="D570" s="30" t="n"/>
      <c r="E570" s="33" t="n"/>
      <c r="F570" s="20">
        <f>IF(A570="","",WEEKNUM(A570,21))</f>
        <v/>
      </c>
      <c r="G570" s="21">
        <f>IF(OR(C570="",N(D570)=0),"",C570/D570)</f>
        <v/>
      </c>
      <c r="H570" s="21">
        <f>IF(A570="","",IFERROR(INDEX(Weight!$B$2:$B$1000,MATCH(IF(_xlfn.MAXIFS(Weight!$A$2:$A$1000,Weight!$A$2:$A$1000,"&lt;="&amp;A570)&gt;0,_xlfn.MAXIFS(Weight!$A$2:$A$1000,Weight!$A$2:$A$1000,"&lt;="&amp;A570),_xlfn.MINIFS(Weight!$A$2:$A$1000,Weight!$A$2:$A$1000,"&gt;0")),Weight!$A$2:$A$1000,0)),Settings!$B$6))</f>
        <v/>
      </c>
      <c r="I570" s="21">
        <f>IF(B570="","",IFERROR(INDEX(Settings!$B$10:$B$21,MATCH(B570,Settings!$A$10:$A$21,0)),4))</f>
        <v/>
      </c>
      <c r="J570" s="22">
        <f>IF(OR(A570="",C570="",I570=""),"",I570*H570*C570/60)</f>
        <v/>
      </c>
    </row>
    <row r="571">
      <c r="A571" s="35" t="n"/>
      <c r="B571" s="33" t="n"/>
      <c r="C571" s="31" t="n"/>
      <c r="D571" s="30" t="n"/>
      <c r="E571" s="33" t="n"/>
      <c r="F571" s="20">
        <f>IF(A571="","",WEEKNUM(A571,21))</f>
        <v/>
      </c>
      <c r="G571" s="21">
        <f>IF(OR(C571="",N(D571)=0),"",C571/D571)</f>
        <v/>
      </c>
      <c r="H571" s="21">
        <f>IF(A571="","",IFERROR(INDEX(Weight!$B$2:$B$1000,MATCH(IF(_xlfn.MAXIFS(Weight!$A$2:$A$1000,Weight!$A$2:$A$1000,"&lt;="&amp;A571)&gt;0,_xlfn.MAXIFS(Weight!$A$2:$A$1000,Weight!$A$2:$A$1000,"&lt;="&amp;A571),_xlfn.MINIFS(Weight!$A$2:$A$1000,Weight!$A$2:$A$1000,"&gt;0")),Weight!$A$2:$A$1000,0)),Settings!$B$6))</f>
        <v/>
      </c>
      <c r="I571" s="21">
        <f>IF(B571="","",IFERROR(INDEX(Settings!$B$10:$B$21,MATCH(B571,Settings!$A$10:$A$21,0)),4))</f>
        <v/>
      </c>
      <c r="J571" s="22">
        <f>IF(OR(A571="",C571="",I571=""),"",I571*H571*C571/60)</f>
        <v/>
      </c>
    </row>
    <row r="572">
      <c r="A572" s="35" t="n"/>
      <c r="B572" s="33" t="n"/>
      <c r="C572" s="31" t="n"/>
      <c r="D572" s="30" t="n"/>
      <c r="E572" s="33" t="n"/>
      <c r="F572" s="20">
        <f>IF(A572="","",WEEKNUM(A572,21))</f>
        <v/>
      </c>
      <c r="G572" s="21">
        <f>IF(OR(C572="",N(D572)=0),"",C572/D572)</f>
        <v/>
      </c>
      <c r="H572" s="21">
        <f>IF(A572="","",IFERROR(INDEX(Weight!$B$2:$B$1000,MATCH(IF(_xlfn.MAXIFS(Weight!$A$2:$A$1000,Weight!$A$2:$A$1000,"&lt;="&amp;A572)&gt;0,_xlfn.MAXIFS(Weight!$A$2:$A$1000,Weight!$A$2:$A$1000,"&lt;="&amp;A572),_xlfn.MINIFS(Weight!$A$2:$A$1000,Weight!$A$2:$A$1000,"&gt;0")),Weight!$A$2:$A$1000,0)),Settings!$B$6))</f>
        <v/>
      </c>
      <c r="I572" s="21">
        <f>IF(B572="","",IFERROR(INDEX(Settings!$B$10:$B$21,MATCH(B572,Settings!$A$10:$A$21,0)),4))</f>
        <v/>
      </c>
      <c r="J572" s="22">
        <f>IF(OR(A572="",C572="",I572=""),"",I572*H572*C572/60)</f>
        <v/>
      </c>
    </row>
    <row r="573">
      <c r="A573" s="35" t="n"/>
      <c r="B573" s="33" t="n"/>
      <c r="C573" s="31" t="n"/>
      <c r="D573" s="30" t="n"/>
      <c r="E573" s="33" t="n"/>
      <c r="F573" s="20">
        <f>IF(A573="","",WEEKNUM(A573,21))</f>
        <v/>
      </c>
      <c r="G573" s="21">
        <f>IF(OR(C573="",N(D573)=0),"",C573/D573)</f>
        <v/>
      </c>
      <c r="H573" s="21">
        <f>IF(A573="","",IFERROR(INDEX(Weight!$B$2:$B$1000,MATCH(IF(_xlfn.MAXIFS(Weight!$A$2:$A$1000,Weight!$A$2:$A$1000,"&lt;="&amp;A573)&gt;0,_xlfn.MAXIFS(Weight!$A$2:$A$1000,Weight!$A$2:$A$1000,"&lt;="&amp;A573),_xlfn.MINIFS(Weight!$A$2:$A$1000,Weight!$A$2:$A$1000,"&gt;0")),Weight!$A$2:$A$1000,0)),Settings!$B$6))</f>
        <v/>
      </c>
      <c r="I573" s="21">
        <f>IF(B573="","",IFERROR(INDEX(Settings!$B$10:$B$21,MATCH(B573,Settings!$A$10:$A$21,0)),4))</f>
        <v/>
      </c>
      <c r="J573" s="22">
        <f>IF(OR(A573="",C573="",I573=""),"",I573*H573*C573/60)</f>
        <v/>
      </c>
    </row>
    <row r="574">
      <c r="A574" s="35" t="n"/>
      <c r="B574" s="33" t="n"/>
      <c r="C574" s="31" t="n"/>
      <c r="D574" s="30" t="n"/>
      <c r="E574" s="33" t="n"/>
      <c r="F574" s="20">
        <f>IF(A574="","",WEEKNUM(A574,21))</f>
        <v/>
      </c>
      <c r="G574" s="21">
        <f>IF(OR(C574="",N(D574)=0),"",C574/D574)</f>
        <v/>
      </c>
      <c r="H574" s="21">
        <f>IF(A574="","",IFERROR(INDEX(Weight!$B$2:$B$1000,MATCH(IF(_xlfn.MAXIFS(Weight!$A$2:$A$1000,Weight!$A$2:$A$1000,"&lt;="&amp;A574)&gt;0,_xlfn.MAXIFS(Weight!$A$2:$A$1000,Weight!$A$2:$A$1000,"&lt;="&amp;A574),_xlfn.MINIFS(Weight!$A$2:$A$1000,Weight!$A$2:$A$1000,"&gt;0")),Weight!$A$2:$A$1000,0)),Settings!$B$6))</f>
        <v/>
      </c>
      <c r="I574" s="21">
        <f>IF(B574="","",IFERROR(INDEX(Settings!$B$10:$B$21,MATCH(B574,Settings!$A$10:$A$21,0)),4))</f>
        <v/>
      </c>
      <c r="J574" s="22">
        <f>IF(OR(A574="",C574="",I574=""),"",I574*H574*C574/60)</f>
        <v/>
      </c>
    </row>
    <row r="575">
      <c r="A575" s="35" t="n"/>
      <c r="B575" s="33" t="n"/>
      <c r="C575" s="31" t="n"/>
      <c r="D575" s="30" t="n"/>
      <c r="E575" s="33" t="n"/>
      <c r="F575" s="20">
        <f>IF(A575="","",WEEKNUM(A575,21))</f>
        <v/>
      </c>
      <c r="G575" s="21">
        <f>IF(OR(C575="",N(D575)=0),"",C575/D575)</f>
        <v/>
      </c>
      <c r="H575" s="21">
        <f>IF(A575="","",IFERROR(INDEX(Weight!$B$2:$B$1000,MATCH(IF(_xlfn.MAXIFS(Weight!$A$2:$A$1000,Weight!$A$2:$A$1000,"&lt;="&amp;A575)&gt;0,_xlfn.MAXIFS(Weight!$A$2:$A$1000,Weight!$A$2:$A$1000,"&lt;="&amp;A575),_xlfn.MINIFS(Weight!$A$2:$A$1000,Weight!$A$2:$A$1000,"&gt;0")),Weight!$A$2:$A$1000,0)),Settings!$B$6))</f>
        <v/>
      </c>
      <c r="I575" s="21">
        <f>IF(B575="","",IFERROR(INDEX(Settings!$B$10:$B$21,MATCH(B575,Settings!$A$10:$A$21,0)),4))</f>
        <v/>
      </c>
      <c r="J575" s="22">
        <f>IF(OR(A575="",C575="",I575=""),"",I575*H575*C575/60)</f>
        <v/>
      </c>
    </row>
    <row r="576">
      <c r="A576" s="35" t="n"/>
      <c r="B576" s="33" t="n"/>
      <c r="C576" s="31" t="n"/>
      <c r="D576" s="30" t="n"/>
      <c r="E576" s="33" t="n"/>
      <c r="F576" s="20">
        <f>IF(A576="","",WEEKNUM(A576,21))</f>
        <v/>
      </c>
      <c r="G576" s="21">
        <f>IF(OR(C576="",N(D576)=0),"",C576/D576)</f>
        <v/>
      </c>
      <c r="H576" s="21">
        <f>IF(A576="","",IFERROR(INDEX(Weight!$B$2:$B$1000,MATCH(IF(_xlfn.MAXIFS(Weight!$A$2:$A$1000,Weight!$A$2:$A$1000,"&lt;="&amp;A576)&gt;0,_xlfn.MAXIFS(Weight!$A$2:$A$1000,Weight!$A$2:$A$1000,"&lt;="&amp;A576),_xlfn.MINIFS(Weight!$A$2:$A$1000,Weight!$A$2:$A$1000,"&gt;0")),Weight!$A$2:$A$1000,0)),Settings!$B$6))</f>
        <v/>
      </c>
      <c r="I576" s="21">
        <f>IF(B576="","",IFERROR(INDEX(Settings!$B$10:$B$21,MATCH(B576,Settings!$A$10:$A$21,0)),4))</f>
        <v/>
      </c>
      <c r="J576" s="22">
        <f>IF(OR(A576="",C576="",I576=""),"",I576*H576*C576/60)</f>
        <v/>
      </c>
    </row>
    <row r="577">
      <c r="A577" s="35" t="n"/>
      <c r="B577" s="33" t="n"/>
      <c r="C577" s="31" t="n"/>
      <c r="D577" s="30" t="n"/>
      <c r="E577" s="33" t="n"/>
      <c r="F577" s="20">
        <f>IF(A577="","",WEEKNUM(A577,21))</f>
        <v/>
      </c>
      <c r="G577" s="21">
        <f>IF(OR(C577="",N(D577)=0),"",C577/D577)</f>
        <v/>
      </c>
      <c r="H577" s="21">
        <f>IF(A577="","",IFERROR(INDEX(Weight!$B$2:$B$1000,MATCH(IF(_xlfn.MAXIFS(Weight!$A$2:$A$1000,Weight!$A$2:$A$1000,"&lt;="&amp;A577)&gt;0,_xlfn.MAXIFS(Weight!$A$2:$A$1000,Weight!$A$2:$A$1000,"&lt;="&amp;A577),_xlfn.MINIFS(Weight!$A$2:$A$1000,Weight!$A$2:$A$1000,"&gt;0")),Weight!$A$2:$A$1000,0)),Settings!$B$6))</f>
        <v/>
      </c>
      <c r="I577" s="21">
        <f>IF(B577="","",IFERROR(INDEX(Settings!$B$10:$B$21,MATCH(B577,Settings!$A$10:$A$21,0)),4))</f>
        <v/>
      </c>
      <c r="J577" s="22">
        <f>IF(OR(A577="",C577="",I577=""),"",I577*H577*C577/60)</f>
        <v/>
      </c>
    </row>
    <row r="578">
      <c r="A578" s="35" t="n"/>
      <c r="B578" s="33" t="n"/>
      <c r="C578" s="31" t="n"/>
      <c r="D578" s="30" t="n"/>
      <c r="E578" s="33" t="n"/>
      <c r="F578" s="20">
        <f>IF(A578="","",WEEKNUM(A578,21))</f>
        <v/>
      </c>
      <c r="G578" s="21">
        <f>IF(OR(C578="",N(D578)=0),"",C578/D578)</f>
        <v/>
      </c>
      <c r="H578" s="21">
        <f>IF(A578="","",IFERROR(INDEX(Weight!$B$2:$B$1000,MATCH(IF(_xlfn.MAXIFS(Weight!$A$2:$A$1000,Weight!$A$2:$A$1000,"&lt;="&amp;A578)&gt;0,_xlfn.MAXIFS(Weight!$A$2:$A$1000,Weight!$A$2:$A$1000,"&lt;="&amp;A578),_xlfn.MINIFS(Weight!$A$2:$A$1000,Weight!$A$2:$A$1000,"&gt;0")),Weight!$A$2:$A$1000,0)),Settings!$B$6))</f>
        <v/>
      </c>
      <c r="I578" s="21">
        <f>IF(B578="","",IFERROR(INDEX(Settings!$B$10:$B$21,MATCH(B578,Settings!$A$10:$A$21,0)),4))</f>
        <v/>
      </c>
      <c r="J578" s="22">
        <f>IF(OR(A578="",C578="",I578=""),"",I578*H578*C578/60)</f>
        <v/>
      </c>
    </row>
    <row r="579">
      <c r="A579" s="35" t="n"/>
      <c r="B579" s="33" t="n"/>
      <c r="C579" s="31" t="n"/>
      <c r="D579" s="30" t="n"/>
      <c r="E579" s="33" t="n"/>
      <c r="F579" s="20">
        <f>IF(A579="","",WEEKNUM(A579,21))</f>
        <v/>
      </c>
      <c r="G579" s="21">
        <f>IF(OR(C579="",N(D579)=0),"",C579/D579)</f>
        <v/>
      </c>
      <c r="H579" s="21">
        <f>IF(A579="","",IFERROR(INDEX(Weight!$B$2:$B$1000,MATCH(IF(_xlfn.MAXIFS(Weight!$A$2:$A$1000,Weight!$A$2:$A$1000,"&lt;="&amp;A579)&gt;0,_xlfn.MAXIFS(Weight!$A$2:$A$1000,Weight!$A$2:$A$1000,"&lt;="&amp;A579),_xlfn.MINIFS(Weight!$A$2:$A$1000,Weight!$A$2:$A$1000,"&gt;0")),Weight!$A$2:$A$1000,0)),Settings!$B$6))</f>
        <v/>
      </c>
      <c r="I579" s="21">
        <f>IF(B579="","",IFERROR(INDEX(Settings!$B$10:$B$21,MATCH(B579,Settings!$A$10:$A$21,0)),4))</f>
        <v/>
      </c>
      <c r="J579" s="22">
        <f>IF(OR(A579="",C579="",I579=""),"",I579*H579*C579/60)</f>
        <v/>
      </c>
    </row>
    <row r="580">
      <c r="A580" s="35" t="n"/>
      <c r="B580" s="33" t="n"/>
      <c r="C580" s="31" t="n"/>
      <c r="D580" s="30" t="n"/>
      <c r="E580" s="33" t="n"/>
      <c r="F580" s="20">
        <f>IF(A580="","",WEEKNUM(A580,21))</f>
        <v/>
      </c>
      <c r="G580" s="21">
        <f>IF(OR(C580="",N(D580)=0),"",C580/D580)</f>
        <v/>
      </c>
      <c r="H580" s="21">
        <f>IF(A580="","",IFERROR(INDEX(Weight!$B$2:$B$1000,MATCH(IF(_xlfn.MAXIFS(Weight!$A$2:$A$1000,Weight!$A$2:$A$1000,"&lt;="&amp;A580)&gt;0,_xlfn.MAXIFS(Weight!$A$2:$A$1000,Weight!$A$2:$A$1000,"&lt;="&amp;A580),_xlfn.MINIFS(Weight!$A$2:$A$1000,Weight!$A$2:$A$1000,"&gt;0")),Weight!$A$2:$A$1000,0)),Settings!$B$6))</f>
        <v/>
      </c>
      <c r="I580" s="21">
        <f>IF(B580="","",IFERROR(INDEX(Settings!$B$10:$B$21,MATCH(B580,Settings!$A$10:$A$21,0)),4))</f>
        <v/>
      </c>
      <c r="J580" s="22">
        <f>IF(OR(A580="",C580="",I580=""),"",I580*H580*C580/60)</f>
        <v/>
      </c>
    </row>
    <row r="581">
      <c r="A581" s="35" t="n"/>
      <c r="B581" s="33" t="n"/>
      <c r="C581" s="31" t="n"/>
      <c r="D581" s="30" t="n"/>
      <c r="E581" s="33" t="n"/>
      <c r="F581" s="20">
        <f>IF(A581="","",WEEKNUM(A581,21))</f>
        <v/>
      </c>
      <c r="G581" s="21">
        <f>IF(OR(C581="",N(D581)=0),"",C581/D581)</f>
        <v/>
      </c>
      <c r="H581" s="21">
        <f>IF(A581="","",IFERROR(INDEX(Weight!$B$2:$B$1000,MATCH(IF(_xlfn.MAXIFS(Weight!$A$2:$A$1000,Weight!$A$2:$A$1000,"&lt;="&amp;A581)&gt;0,_xlfn.MAXIFS(Weight!$A$2:$A$1000,Weight!$A$2:$A$1000,"&lt;="&amp;A581),_xlfn.MINIFS(Weight!$A$2:$A$1000,Weight!$A$2:$A$1000,"&gt;0")),Weight!$A$2:$A$1000,0)),Settings!$B$6))</f>
        <v/>
      </c>
      <c r="I581" s="21">
        <f>IF(B581="","",IFERROR(INDEX(Settings!$B$10:$B$21,MATCH(B581,Settings!$A$10:$A$21,0)),4))</f>
        <v/>
      </c>
      <c r="J581" s="22">
        <f>IF(OR(A581="",C581="",I581=""),"",I581*H581*C581/60)</f>
        <v/>
      </c>
    </row>
    <row r="582">
      <c r="A582" s="35" t="n"/>
      <c r="B582" s="33" t="n"/>
      <c r="C582" s="31" t="n"/>
      <c r="D582" s="30" t="n"/>
      <c r="E582" s="33" t="n"/>
      <c r="F582" s="20">
        <f>IF(A582="","",WEEKNUM(A582,21))</f>
        <v/>
      </c>
      <c r="G582" s="21">
        <f>IF(OR(C582="",N(D582)=0),"",C582/D582)</f>
        <v/>
      </c>
      <c r="H582" s="21">
        <f>IF(A582="","",IFERROR(INDEX(Weight!$B$2:$B$1000,MATCH(IF(_xlfn.MAXIFS(Weight!$A$2:$A$1000,Weight!$A$2:$A$1000,"&lt;="&amp;A582)&gt;0,_xlfn.MAXIFS(Weight!$A$2:$A$1000,Weight!$A$2:$A$1000,"&lt;="&amp;A582),_xlfn.MINIFS(Weight!$A$2:$A$1000,Weight!$A$2:$A$1000,"&gt;0")),Weight!$A$2:$A$1000,0)),Settings!$B$6))</f>
        <v/>
      </c>
      <c r="I582" s="21">
        <f>IF(B582="","",IFERROR(INDEX(Settings!$B$10:$B$21,MATCH(B582,Settings!$A$10:$A$21,0)),4))</f>
        <v/>
      </c>
      <c r="J582" s="22">
        <f>IF(OR(A582="",C582="",I582=""),"",I582*H582*C582/60)</f>
        <v/>
      </c>
    </row>
    <row r="583">
      <c r="A583" s="35" t="n"/>
      <c r="B583" s="33" t="n"/>
      <c r="C583" s="31" t="n"/>
      <c r="D583" s="30" t="n"/>
      <c r="E583" s="33" t="n"/>
      <c r="F583" s="20">
        <f>IF(A583="","",WEEKNUM(A583,21))</f>
        <v/>
      </c>
      <c r="G583" s="21">
        <f>IF(OR(C583="",N(D583)=0),"",C583/D583)</f>
        <v/>
      </c>
      <c r="H583" s="21">
        <f>IF(A583="","",IFERROR(INDEX(Weight!$B$2:$B$1000,MATCH(IF(_xlfn.MAXIFS(Weight!$A$2:$A$1000,Weight!$A$2:$A$1000,"&lt;="&amp;A583)&gt;0,_xlfn.MAXIFS(Weight!$A$2:$A$1000,Weight!$A$2:$A$1000,"&lt;="&amp;A583),_xlfn.MINIFS(Weight!$A$2:$A$1000,Weight!$A$2:$A$1000,"&gt;0")),Weight!$A$2:$A$1000,0)),Settings!$B$6))</f>
        <v/>
      </c>
      <c r="I583" s="21">
        <f>IF(B583="","",IFERROR(INDEX(Settings!$B$10:$B$21,MATCH(B583,Settings!$A$10:$A$21,0)),4))</f>
        <v/>
      </c>
      <c r="J583" s="22">
        <f>IF(OR(A583="",C583="",I583=""),"",I583*H583*C583/60)</f>
        <v/>
      </c>
    </row>
    <row r="584">
      <c r="A584" s="35" t="n"/>
      <c r="B584" s="33" t="n"/>
      <c r="C584" s="31" t="n"/>
      <c r="D584" s="30" t="n"/>
      <c r="E584" s="33" t="n"/>
      <c r="F584" s="20">
        <f>IF(A584="","",WEEKNUM(A584,21))</f>
        <v/>
      </c>
      <c r="G584" s="21">
        <f>IF(OR(C584="",N(D584)=0),"",C584/D584)</f>
        <v/>
      </c>
      <c r="H584" s="21">
        <f>IF(A584="","",IFERROR(INDEX(Weight!$B$2:$B$1000,MATCH(IF(_xlfn.MAXIFS(Weight!$A$2:$A$1000,Weight!$A$2:$A$1000,"&lt;="&amp;A584)&gt;0,_xlfn.MAXIFS(Weight!$A$2:$A$1000,Weight!$A$2:$A$1000,"&lt;="&amp;A584),_xlfn.MINIFS(Weight!$A$2:$A$1000,Weight!$A$2:$A$1000,"&gt;0")),Weight!$A$2:$A$1000,0)),Settings!$B$6))</f>
        <v/>
      </c>
      <c r="I584" s="21">
        <f>IF(B584="","",IFERROR(INDEX(Settings!$B$10:$B$21,MATCH(B584,Settings!$A$10:$A$21,0)),4))</f>
        <v/>
      </c>
      <c r="J584" s="22">
        <f>IF(OR(A584="",C584="",I584=""),"",I584*H584*C584/60)</f>
        <v/>
      </c>
    </row>
    <row r="585">
      <c r="A585" s="35" t="n"/>
      <c r="B585" s="33" t="n"/>
      <c r="C585" s="31" t="n"/>
      <c r="D585" s="30" t="n"/>
      <c r="E585" s="33" t="n"/>
      <c r="F585" s="20">
        <f>IF(A585="","",WEEKNUM(A585,21))</f>
        <v/>
      </c>
      <c r="G585" s="21">
        <f>IF(OR(C585="",N(D585)=0),"",C585/D585)</f>
        <v/>
      </c>
      <c r="H585" s="21">
        <f>IF(A585="","",IFERROR(INDEX(Weight!$B$2:$B$1000,MATCH(IF(_xlfn.MAXIFS(Weight!$A$2:$A$1000,Weight!$A$2:$A$1000,"&lt;="&amp;A585)&gt;0,_xlfn.MAXIFS(Weight!$A$2:$A$1000,Weight!$A$2:$A$1000,"&lt;="&amp;A585),_xlfn.MINIFS(Weight!$A$2:$A$1000,Weight!$A$2:$A$1000,"&gt;0")),Weight!$A$2:$A$1000,0)),Settings!$B$6))</f>
        <v/>
      </c>
      <c r="I585" s="21">
        <f>IF(B585="","",IFERROR(INDEX(Settings!$B$10:$B$21,MATCH(B585,Settings!$A$10:$A$21,0)),4))</f>
        <v/>
      </c>
      <c r="J585" s="22">
        <f>IF(OR(A585="",C585="",I585=""),"",I585*H585*C585/60)</f>
        <v/>
      </c>
    </row>
    <row r="586">
      <c r="A586" s="35" t="n"/>
      <c r="B586" s="33" t="n"/>
      <c r="C586" s="31" t="n"/>
      <c r="D586" s="30" t="n"/>
      <c r="E586" s="33" t="n"/>
      <c r="F586" s="20">
        <f>IF(A586="","",WEEKNUM(A586,21))</f>
        <v/>
      </c>
      <c r="G586" s="21">
        <f>IF(OR(C586="",N(D586)=0),"",C586/D586)</f>
        <v/>
      </c>
      <c r="H586" s="21">
        <f>IF(A586="","",IFERROR(INDEX(Weight!$B$2:$B$1000,MATCH(IF(_xlfn.MAXIFS(Weight!$A$2:$A$1000,Weight!$A$2:$A$1000,"&lt;="&amp;A586)&gt;0,_xlfn.MAXIFS(Weight!$A$2:$A$1000,Weight!$A$2:$A$1000,"&lt;="&amp;A586),_xlfn.MINIFS(Weight!$A$2:$A$1000,Weight!$A$2:$A$1000,"&gt;0")),Weight!$A$2:$A$1000,0)),Settings!$B$6))</f>
        <v/>
      </c>
      <c r="I586" s="21">
        <f>IF(B586="","",IFERROR(INDEX(Settings!$B$10:$B$21,MATCH(B586,Settings!$A$10:$A$21,0)),4))</f>
        <v/>
      </c>
      <c r="J586" s="22">
        <f>IF(OR(A586="",C586="",I586=""),"",I586*H586*C586/60)</f>
        <v/>
      </c>
    </row>
    <row r="587">
      <c r="A587" s="35" t="n"/>
      <c r="B587" s="33" t="n"/>
      <c r="C587" s="31" t="n"/>
      <c r="D587" s="30" t="n"/>
      <c r="E587" s="33" t="n"/>
      <c r="F587" s="20">
        <f>IF(A587="","",WEEKNUM(A587,21))</f>
        <v/>
      </c>
      <c r="G587" s="21">
        <f>IF(OR(C587="",N(D587)=0),"",C587/D587)</f>
        <v/>
      </c>
      <c r="H587" s="21">
        <f>IF(A587="","",IFERROR(INDEX(Weight!$B$2:$B$1000,MATCH(IF(_xlfn.MAXIFS(Weight!$A$2:$A$1000,Weight!$A$2:$A$1000,"&lt;="&amp;A587)&gt;0,_xlfn.MAXIFS(Weight!$A$2:$A$1000,Weight!$A$2:$A$1000,"&lt;="&amp;A587),_xlfn.MINIFS(Weight!$A$2:$A$1000,Weight!$A$2:$A$1000,"&gt;0")),Weight!$A$2:$A$1000,0)),Settings!$B$6))</f>
        <v/>
      </c>
      <c r="I587" s="21">
        <f>IF(B587="","",IFERROR(INDEX(Settings!$B$10:$B$21,MATCH(B587,Settings!$A$10:$A$21,0)),4))</f>
        <v/>
      </c>
      <c r="J587" s="22">
        <f>IF(OR(A587="",C587="",I587=""),"",I587*H587*C587/60)</f>
        <v/>
      </c>
    </row>
    <row r="588">
      <c r="A588" s="35" t="n"/>
      <c r="B588" s="33" t="n"/>
      <c r="C588" s="31" t="n"/>
      <c r="D588" s="30" t="n"/>
      <c r="E588" s="33" t="n"/>
      <c r="F588" s="20">
        <f>IF(A588="","",WEEKNUM(A588,21))</f>
        <v/>
      </c>
      <c r="G588" s="21">
        <f>IF(OR(C588="",N(D588)=0),"",C588/D588)</f>
        <v/>
      </c>
      <c r="H588" s="21">
        <f>IF(A588="","",IFERROR(INDEX(Weight!$B$2:$B$1000,MATCH(IF(_xlfn.MAXIFS(Weight!$A$2:$A$1000,Weight!$A$2:$A$1000,"&lt;="&amp;A588)&gt;0,_xlfn.MAXIFS(Weight!$A$2:$A$1000,Weight!$A$2:$A$1000,"&lt;="&amp;A588),_xlfn.MINIFS(Weight!$A$2:$A$1000,Weight!$A$2:$A$1000,"&gt;0")),Weight!$A$2:$A$1000,0)),Settings!$B$6))</f>
        <v/>
      </c>
      <c r="I588" s="21">
        <f>IF(B588="","",IFERROR(INDEX(Settings!$B$10:$B$21,MATCH(B588,Settings!$A$10:$A$21,0)),4))</f>
        <v/>
      </c>
      <c r="J588" s="22">
        <f>IF(OR(A588="",C588="",I588=""),"",I588*H588*C588/60)</f>
        <v/>
      </c>
    </row>
    <row r="589">
      <c r="A589" s="35" t="n"/>
      <c r="B589" s="33" t="n"/>
      <c r="C589" s="31" t="n"/>
      <c r="D589" s="30" t="n"/>
      <c r="E589" s="33" t="n"/>
      <c r="F589" s="20">
        <f>IF(A589="","",WEEKNUM(A589,21))</f>
        <v/>
      </c>
      <c r="G589" s="21">
        <f>IF(OR(C589="",N(D589)=0),"",C589/D589)</f>
        <v/>
      </c>
      <c r="H589" s="21">
        <f>IF(A589="","",IFERROR(INDEX(Weight!$B$2:$B$1000,MATCH(IF(_xlfn.MAXIFS(Weight!$A$2:$A$1000,Weight!$A$2:$A$1000,"&lt;="&amp;A589)&gt;0,_xlfn.MAXIFS(Weight!$A$2:$A$1000,Weight!$A$2:$A$1000,"&lt;="&amp;A589),_xlfn.MINIFS(Weight!$A$2:$A$1000,Weight!$A$2:$A$1000,"&gt;0")),Weight!$A$2:$A$1000,0)),Settings!$B$6))</f>
        <v/>
      </c>
      <c r="I589" s="21">
        <f>IF(B589="","",IFERROR(INDEX(Settings!$B$10:$B$21,MATCH(B589,Settings!$A$10:$A$21,0)),4))</f>
        <v/>
      </c>
      <c r="J589" s="22">
        <f>IF(OR(A589="",C589="",I589=""),"",I589*H589*C589/60)</f>
        <v/>
      </c>
    </row>
    <row r="590">
      <c r="A590" s="35" t="n"/>
      <c r="B590" s="33" t="n"/>
      <c r="C590" s="31" t="n"/>
      <c r="D590" s="30" t="n"/>
      <c r="E590" s="33" t="n"/>
      <c r="F590" s="20">
        <f>IF(A590="","",WEEKNUM(A590,21))</f>
        <v/>
      </c>
      <c r="G590" s="21">
        <f>IF(OR(C590="",N(D590)=0),"",C590/D590)</f>
        <v/>
      </c>
      <c r="H590" s="21">
        <f>IF(A590="","",IFERROR(INDEX(Weight!$B$2:$B$1000,MATCH(IF(_xlfn.MAXIFS(Weight!$A$2:$A$1000,Weight!$A$2:$A$1000,"&lt;="&amp;A590)&gt;0,_xlfn.MAXIFS(Weight!$A$2:$A$1000,Weight!$A$2:$A$1000,"&lt;="&amp;A590),_xlfn.MINIFS(Weight!$A$2:$A$1000,Weight!$A$2:$A$1000,"&gt;0")),Weight!$A$2:$A$1000,0)),Settings!$B$6))</f>
        <v/>
      </c>
      <c r="I590" s="21">
        <f>IF(B590="","",IFERROR(INDEX(Settings!$B$10:$B$21,MATCH(B590,Settings!$A$10:$A$21,0)),4))</f>
        <v/>
      </c>
      <c r="J590" s="22">
        <f>IF(OR(A590="",C590="",I590=""),"",I590*H590*C590/60)</f>
        <v/>
      </c>
    </row>
    <row r="591">
      <c r="A591" s="35" t="n"/>
      <c r="B591" s="33" t="n"/>
      <c r="C591" s="31" t="n"/>
      <c r="D591" s="30" t="n"/>
      <c r="E591" s="33" t="n"/>
      <c r="F591" s="20">
        <f>IF(A591="","",WEEKNUM(A591,21))</f>
        <v/>
      </c>
      <c r="G591" s="21">
        <f>IF(OR(C591="",N(D591)=0),"",C591/D591)</f>
        <v/>
      </c>
      <c r="H591" s="21">
        <f>IF(A591="","",IFERROR(INDEX(Weight!$B$2:$B$1000,MATCH(IF(_xlfn.MAXIFS(Weight!$A$2:$A$1000,Weight!$A$2:$A$1000,"&lt;="&amp;A591)&gt;0,_xlfn.MAXIFS(Weight!$A$2:$A$1000,Weight!$A$2:$A$1000,"&lt;="&amp;A591),_xlfn.MINIFS(Weight!$A$2:$A$1000,Weight!$A$2:$A$1000,"&gt;0")),Weight!$A$2:$A$1000,0)),Settings!$B$6))</f>
        <v/>
      </c>
      <c r="I591" s="21">
        <f>IF(B591="","",IFERROR(INDEX(Settings!$B$10:$B$21,MATCH(B591,Settings!$A$10:$A$21,0)),4))</f>
        <v/>
      </c>
      <c r="J591" s="22">
        <f>IF(OR(A591="",C591="",I591=""),"",I591*H591*C591/60)</f>
        <v/>
      </c>
    </row>
    <row r="592">
      <c r="A592" s="35" t="n"/>
      <c r="B592" s="33" t="n"/>
      <c r="C592" s="31" t="n"/>
      <c r="D592" s="30" t="n"/>
      <c r="E592" s="33" t="n"/>
      <c r="F592" s="20">
        <f>IF(A592="","",WEEKNUM(A592,21))</f>
        <v/>
      </c>
      <c r="G592" s="21">
        <f>IF(OR(C592="",N(D592)=0),"",C592/D592)</f>
        <v/>
      </c>
      <c r="H592" s="21">
        <f>IF(A592="","",IFERROR(INDEX(Weight!$B$2:$B$1000,MATCH(IF(_xlfn.MAXIFS(Weight!$A$2:$A$1000,Weight!$A$2:$A$1000,"&lt;="&amp;A592)&gt;0,_xlfn.MAXIFS(Weight!$A$2:$A$1000,Weight!$A$2:$A$1000,"&lt;="&amp;A592),_xlfn.MINIFS(Weight!$A$2:$A$1000,Weight!$A$2:$A$1000,"&gt;0")),Weight!$A$2:$A$1000,0)),Settings!$B$6))</f>
        <v/>
      </c>
      <c r="I592" s="21">
        <f>IF(B592="","",IFERROR(INDEX(Settings!$B$10:$B$21,MATCH(B592,Settings!$A$10:$A$21,0)),4))</f>
        <v/>
      </c>
      <c r="J592" s="22">
        <f>IF(OR(A592="",C592="",I592=""),"",I592*H592*C592/60)</f>
        <v/>
      </c>
    </row>
    <row r="593">
      <c r="A593" s="35" t="n"/>
      <c r="B593" s="33" t="n"/>
      <c r="C593" s="31" t="n"/>
      <c r="D593" s="30" t="n"/>
      <c r="E593" s="33" t="n"/>
      <c r="F593" s="20">
        <f>IF(A593="","",WEEKNUM(A593,21))</f>
        <v/>
      </c>
      <c r="G593" s="21">
        <f>IF(OR(C593="",N(D593)=0),"",C593/D593)</f>
        <v/>
      </c>
      <c r="H593" s="21">
        <f>IF(A593="","",IFERROR(INDEX(Weight!$B$2:$B$1000,MATCH(IF(_xlfn.MAXIFS(Weight!$A$2:$A$1000,Weight!$A$2:$A$1000,"&lt;="&amp;A593)&gt;0,_xlfn.MAXIFS(Weight!$A$2:$A$1000,Weight!$A$2:$A$1000,"&lt;="&amp;A593),_xlfn.MINIFS(Weight!$A$2:$A$1000,Weight!$A$2:$A$1000,"&gt;0")),Weight!$A$2:$A$1000,0)),Settings!$B$6))</f>
        <v/>
      </c>
      <c r="I593" s="21">
        <f>IF(B593="","",IFERROR(INDEX(Settings!$B$10:$B$21,MATCH(B593,Settings!$A$10:$A$21,0)),4))</f>
        <v/>
      </c>
      <c r="J593" s="22">
        <f>IF(OR(A593="",C593="",I593=""),"",I593*H593*C593/60)</f>
        <v/>
      </c>
    </row>
    <row r="594">
      <c r="A594" s="35" t="n"/>
      <c r="B594" s="33" t="n"/>
      <c r="C594" s="31" t="n"/>
      <c r="D594" s="30" t="n"/>
      <c r="E594" s="33" t="n"/>
      <c r="F594" s="20">
        <f>IF(A594="","",WEEKNUM(A594,21))</f>
        <v/>
      </c>
      <c r="G594" s="21">
        <f>IF(OR(C594="",N(D594)=0),"",C594/D594)</f>
        <v/>
      </c>
      <c r="H594" s="21">
        <f>IF(A594="","",IFERROR(INDEX(Weight!$B$2:$B$1000,MATCH(IF(_xlfn.MAXIFS(Weight!$A$2:$A$1000,Weight!$A$2:$A$1000,"&lt;="&amp;A594)&gt;0,_xlfn.MAXIFS(Weight!$A$2:$A$1000,Weight!$A$2:$A$1000,"&lt;="&amp;A594),_xlfn.MINIFS(Weight!$A$2:$A$1000,Weight!$A$2:$A$1000,"&gt;0")),Weight!$A$2:$A$1000,0)),Settings!$B$6))</f>
        <v/>
      </c>
      <c r="I594" s="21">
        <f>IF(B594="","",IFERROR(INDEX(Settings!$B$10:$B$21,MATCH(B594,Settings!$A$10:$A$21,0)),4))</f>
        <v/>
      </c>
      <c r="J594" s="22">
        <f>IF(OR(A594="",C594="",I594=""),"",I594*H594*C594/60)</f>
        <v/>
      </c>
    </row>
    <row r="595">
      <c r="A595" s="35" t="n"/>
      <c r="B595" s="33" t="n"/>
      <c r="C595" s="31" t="n"/>
      <c r="D595" s="30" t="n"/>
      <c r="E595" s="33" t="n"/>
      <c r="F595" s="20">
        <f>IF(A595="","",WEEKNUM(A595,21))</f>
        <v/>
      </c>
      <c r="G595" s="21">
        <f>IF(OR(C595="",N(D595)=0),"",C595/D595)</f>
        <v/>
      </c>
      <c r="H595" s="21">
        <f>IF(A595="","",IFERROR(INDEX(Weight!$B$2:$B$1000,MATCH(IF(_xlfn.MAXIFS(Weight!$A$2:$A$1000,Weight!$A$2:$A$1000,"&lt;="&amp;A595)&gt;0,_xlfn.MAXIFS(Weight!$A$2:$A$1000,Weight!$A$2:$A$1000,"&lt;="&amp;A595),_xlfn.MINIFS(Weight!$A$2:$A$1000,Weight!$A$2:$A$1000,"&gt;0")),Weight!$A$2:$A$1000,0)),Settings!$B$6))</f>
        <v/>
      </c>
      <c r="I595" s="21">
        <f>IF(B595="","",IFERROR(INDEX(Settings!$B$10:$B$21,MATCH(B595,Settings!$A$10:$A$21,0)),4))</f>
        <v/>
      </c>
      <c r="J595" s="22">
        <f>IF(OR(A595="",C595="",I595=""),"",I595*H595*C595/60)</f>
        <v/>
      </c>
    </row>
    <row r="596">
      <c r="A596" s="35" t="n"/>
      <c r="B596" s="33" t="n"/>
      <c r="C596" s="31" t="n"/>
      <c r="D596" s="30" t="n"/>
      <c r="E596" s="33" t="n"/>
      <c r="F596" s="20">
        <f>IF(A596="","",WEEKNUM(A596,21))</f>
        <v/>
      </c>
      <c r="G596" s="21">
        <f>IF(OR(C596="",N(D596)=0),"",C596/D596)</f>
        <v/>
      </c>
      <c r="H596" s="21">
        <f>IF(A596="","",IFERROR(INDEX(Weight!$B$2:$B$1000,MATCH(IF(_xlfn.MAXIFS(Weight!$A$2:$A$1000,Weight!$A$2:$A$1000,"&lt;="&amp;A596)&gt;0,_xlfn.MAXIFS(Weight!$A$2:$A$1000,Weight!$A$2:$A$1000,"&lt;="&amp;A596),_xlfn.MINIFS(Weight!$A$2:$A$1000,Weight!$A$2:$A$1000,"&gt;0")),Weight!$A$2:$A$1000,0)),Settings!$B$6))</f>
        <v/>
      </c>
      <c r="I596" s="21">
        <f>IF(B596="","",IFERROR(INDEX(Settings!$B$10:$B$21,MATCH(B596,Settings!$A$10:$A$21,0)),4))</f>
        <v/>
      </c>
      <c r="J596" s="22">
        <f>IF(OR(A596="",C596="",I596=""),"",I596*H596*C596/60)</f>
        <v/>
      </c>
    </row>
    <row r="597">
      <c r="A597" s="35" t="n"/>
      <c r="B597" s="33" t="n"/>
      <c r="C597" s="31" t="n"/>
      <c r="D597" s="30" t="n"/>
      <c r="E597" s="33" t="n"/>
      <c r="F597" s="20">
        <f>IF(A597="","",WEEKNUM(A597,21))</f>
        <v/>
      </c>
      <c r="G597" s="21">
        <f>IF(OR(C597="",N(D597)=0),"",C597/D597)</f>
        <v/>
      </c>
      <c r="H597" s="21">
        <f>IF(A597="","",IFERROR(INDEX(Weight!$B$2:$B$1000,MATCH(IF(_xlfn.MAXIFS(Weight!$A$2:$A$1000,Weight!$A$2:$A$1000,"&lt;="&amp;A597)&gt;0,_xlfn.MAXIFS(Weight!$A$2:$A$1000,Weight!$A$2:$A$1000,"&lt;="&amp;A597),_xlfn.MINIFS(Weight!$A$2:$A$1000,Weight!$A$2:$A$1000,"&gt;0")),Weight!$A$2:$A$1000,0)),Settings!$B$6))</f>
        <v/>
      </c>
      <c r="I597" s="21">
        <f>IF(B597="","",IFERROR(INDEX(Settings!$B$10:$B$21,MATCH(B597,Settings!$A$10:$A$21,0)),4))</f>
        <v/>
      </c>
      <c r="J597" s="22">
        <f>IF(OR(A597="",C597="",I597=""),"",I597*H597*C597/60)</f>
        <v/>
      </c>
    </row>
    <row r="598">
      <c r="A598" s="35" t="n"/>
      <c r="B598" s="33" t="n"/>
      <c r="C598" s="31" t="n"/>
      <c r="D598" s="30" t="n"/>
      <c r="E598" s="33" t="n"/>
      <c r="F598" s="20">
        <f>IF(A598="","",WEEKNUM(A598,21))</f>
        <v/>
      </c>
      <c r="G598" s="21">
        <f>IF(OR(C598="",N(D598)=0),"",C598/D598)</f>
        <v/>
      </c>
      <c r="H598" s="21">
        <f>IF(A598="","",IFERROR(INDEX(Weight!$B$2:$B$1000,MATCH(IF(_xlfn.MAXIFS(Weight!$A$2:$A$1000,Weight!$A$2:$A$1000,"&lt;="&amp;A598)&gt;0,_xlfn.MAXIFS(Weight!$A$2:$A$1000,Weight!$A$2:$A$1000,"&lt;="&amp;A598),_xlfn.MINIFS(Weight!$A$2:$A$1000,Weight!$A$2:$A$1000,"&gt;0")),Weight!$A$2:$A$1000,0)),Settings!$B$6))</f>
        <v/>
      </c>
      <c r="I598" s="21">
        <f>IF(B598="","",IFERROR(INDEX(Settings!$B$10:$B$21,MATCH(B598,Settings!$A$10:$A$21,0)),4))</f>
        <v/>
      </c>
      <c r="J598" s="22">
        <f>IF(OR(A598="",C598="",I598=""),"",I598*H598*C598/60)</f>
        <v/>
      </c>
    </row>
    <row r="599">
      <c r="A599" s="35" t="n"/>
      <c r="B599" s="33" t="n"/>
      <c r="C599" s="31" t="n"/>
      <c r="D599" s="30" t="n"/>
      <c r="E599" s="33" t="n"/>
      <c r="F599" s="20">
        <f>IF(A599="","",WEEKNUM(A599,21))</f>
        <v/>
      </c>
      <c r="G599" s="21">
        <f>IF(OR(C599="",N(D599)=0),"",C599/D599)</f>
        <v/>
      </c>
      <c r="H599" s="21">
        <f>IF(A599="","",IFERROR(INDEX(Weight!$B$2:$B$1000,MATCH(IF(_xlfn.MAXIFS(Weight!$A$2:$A$1000,Weight!$A$2:$A$1000,"&lt;="&amp;A599)&gt;0,_xlfn.MAXIFS(Weight!$A$2:$A$1000,Weight!$A$2:$A$1000,"&lt;="&amp;A599),_xlfn.MINIFS(Weight!$A$2:$A$1000,Weight!$A$2:$A$1000,"&gt;0")),Weight!$A$2:$A$1000,0)),Settings!$B$6))</f>
        <v/>
      </c>
      <c r="I599" s="21">
        <f>IF(B599="","",IFERROR(INDEX(Settings!$B$10:$B$21,MATCH(B599,Settings!$A$10:$A$21,0)),4))</f>
        <v/>
      </c>
      <c r="J599" s="22">
        <f>IF(OR(A599="",C599="",I599=""),"",I599*H599*C599/60)</f>
        <v/>
      </c>
    </row>
    <row r="600">
      <c r="A600" s="35" t="n"/>
      <c r="B600" s="33" t="n"/>
      <c r="C600" s="31" t="n"/>
      <c r="D600" s="30" t="n"/>
      <c r="E600" s="33" t="n"/>
      <c r="F600" s="20">
        <f>IF(A600="","",WEEKNUM(A600,21))</f>
        <v/>
      </c>
      <c r="G600" s="21">
        <f>IF(OR(C600="",N(D600)=0),"",C600/D600)</f>
        <v/>
      </c>
      <c r="H600" s="21">
        <f>IF(A600="","",IFERROR(INDEX(Weight!$B$2:$B$1000,MATCH(IF(_xlfn.MAXIFS(Weight!$A$2:$A$1000,Weight!$A$2:$A$1000,"&lt;="&amp;A600)&gt;0,_xlfn.MAXIFS(Weight!$A$2:$A$1000,Weight!$A$2:$A$1000,"&lt;="&amp;A600),_xlfn.MINIFS(Weight!$A$2:$A$1000,Weight!$A$2:$A$1000,"&gt;0")),Weight!$A$2:$A$1000,0)),Settings!$B$6))</f>
        <v/>
      </c>
      <c r="I600" s="21">
        <f>IF(B600="","",IFERROR(INDEX(Settings!$B$10:$B$21,MATCH(B600,Settings!$A$10:$A$21,0)),4))</f>
        <v/>
      </c>
      <c r="J600" s="22">
        <f>IF(OR(A600="",C600="",I600=""),"",I600*H600*C600/60)</f>
        <v/>
      </c>
    </row>
    <row r="601">
      <c r="A601" s="35" t="n"/>
      <c r="B601" s="33" t="n"/>
      <c r="C601" s="31" t="n"/>
      <c r="D601" s="30" t="n"/>
      <c r="E601" s="33" t="n"/>
      <c r="F601" s="20">
        <f>IF(A601="","",WEEKNUM(A601,21))</f>
        <v/>
      </c>
      <c r="G601" s="21">
        <f>IF(OR(C601="",N(D601)=0),"",C601/D601)</f>
        <v/>
      </c>
      <c r="H601" s="21">
        <f>IF(A601="","",IFERROR(INDEX(Weight!$B$2:$B$1000,MATCH(IF(_xlfn.MAXIFS(Weight!$A$2:$A$1000,Weight!$A$2:$A$1000,"&lt;="&amp;A601)&gt;0,_xlfn.MAXIFS(Weight!$A$2:$A$1000,Weight!$A$2:$A$1000,"&lt;="&amp;A601),_xlfn.MINIFS(Weight!$A$2:$A$1000,Weight!$A$2:$A$1000,"&gt;0")),Weight!$A$2:$A$1000,0)),Settings!$B$6))</f>
        <v/>
      </c>
      <c r="I601" s="21">
        <f>IF(B601="","",IFERROR(INDEX(Settings!$B$10:$B$21,MATCH(B601,Settings!$A$10:$A$21,0)),4))</f>
        <v/>
      </c>
      <c r="J601" s="22">
        <f>IF(OR(A601="",C601="",I601=""),"",I601*H601*C601/60)</f>
        <v/>
      </c>
    </row>
    <row r="602">
      <c r="A602" s="35" t="n"/>
      <c r="B602" s="33" t="n"/>
      <c r="C602" s="31" t="n"/>
      <c r="D602" s="30" t="n"/>
      <c r="E602" s="33" t="n"/>
      <c r="F602" s="20">
        <f>IF(A602="","",WEEKNUM(A602,21))</f>
        <v/>
      </c>
      <c r="G602" s="21">
        <f>IF(OR(C602="",N(D602)=0),"",C602/D602)</f>
        <v/>
      </c>
      <c r="H602" s="21">
        <f>IF(A602="","",IFERROR(INDEX(Weight!$B$2:$B$1000,MATCH(IF(_xlfn.MAXIFS(Weight!$A$2:$A$1000,Weight!$A$2:$A$1000,"&lt;="&amp;A602)&gt;0,_xlfn.MAXIFS(Weight!$A$2:$A$1000,Weight!$A$2:$A$1000,"&lt;="&amp;A602),_xlfn.MINIFS(Weight!$A$2:$A$1000,Weight!$A$2:$A$1000,"&gt;0")),Weight!$A$2:$A$1000,0)),Settings!$B$6))</f>
        <v/>
      </c>
      <c r="I602" s="21">
        <f>IF(B602="","",IFERROR(INDEX(Settings!$B$10:$B$21,MATCH(B602,Settings!$A$10:$A$21,0)),4))</f>
        <v/>
      </c>
      <c r="J602" s="22">
        <f>IF(OR(A602="",C602="",I602=""),"",I602*H602*C602/60)</f>
        <v/>
      </c>
    </row>
    <row r="603">
      <c r="A603" s="35" t="n"/>
      <c r="B603" s="33" t="n"/>
      <c r="C603" s="31" t="n"/>
      <c r="D603" s="30" t="n"/>
      <c r="E603" s="33" t="n"/>
      <c r="F603" s="20">
        <f>IF(A603="","",WEEKNUM(A603,21))</f>
        <v/>
      </c>
      <c r="G603" s="21">
        <f>IF(OR(C603="",N(D603)=0),"",C603/D603)</f>
        <v/>
      </c>
      <c r="H603" s="21">
        <f>IF(A603="","",IFERROR(INDEX(Weight!$B$2:$B$1000,MATCH(IF(_xlfn.MAXIFS(Weight!$A$2:$A$1000,Weight!$A$2:$A$1000,"&lt;="&amp;A603)&gt;0,_xlfn.MAXIFS(Weight!$A$2:$A$1000,Weight!$A$2:$A$1000,"&lt;="&amp;A603),_xlfn.MINIFS(Weight!$A$2:$A$1000,Weight!$A$2:$A$1000,"&gt;0")),Weight!$A$2:$A$1000,0)),Settings!$B$6))</f>
        <v/>
      </c>
      <c r="I603" s="21">
        <f>IF(B603="","",IFERROR(INDEX(Settings!$B$10:$B$21,MATCH(B603,Settings!$A$10:$A$21,0)),4))</f>
        <v/>
      </c>
      <c r="J603" s="22">
        <f>IF(OR(A603="",C603="",I603=""),"",I603*H603*C603/60)</f>
        <v/>
      </c>
    </row>
    <row r="604">
      <c r="A604" s="35" t="n"/>
      <c r="B604" s="33" t="n"/>
      <c r="C604" s="31" t="n"/>
      <c r="D604" s="30" t="n"/>
      <c r="E604" s="33" t="n"/>
      <c r="F604" s="20">
        <f>IF(A604="","",WEEKNUM(A604,21))</f>
        <v/>
      </c>
      <c r="G604" s="21">
        <f>IF(OR(C604="",N(D604)=0),"",C604/D604)</f>
        <v/>
      </c>
      <c r="H604" s="21">
        <f>IF(A604="","",IFERROR(INDEX(Weight!$B$2:$B$1000,MATCH(IF(_xlfn.MAXIFS(Weight!$A$2:$A$1000,Weight!$A$2:$A$1000,"&lt;="&amp;A604)&gt;0,_xlfn.MAXIFS(Weight!$A$2:$A$1000,Weight!$A$2:$A$1000,"&lt;="&amp;A604),_xlfn.MINIFS(Weight!$A$2:$A$1000,Weight!$A$2:$A$1000,"&gt;0")),Weight!$A$2:$A$1000,0)),Settings!$B$6))</f>
        <v/>
      </c>
      <c r="I604" s="21">
        <f>IF(B604="","",IFERROR(INDEX(Settings!$B$10:$B$21,MATCH(B604,Settings!$A$10:$A$21,0)),4))</f>
        <v/>
      </c>
      <c r="J604" s="22">
        <f>IF(OR(A604="",C604="",I604=""),"",I604*H604*C604/60)</f>
        <v/>
      </c>
    </row>
    <row r="605">
      <c r="A605" s="35" t="n"/>
      <c r="B605" s="33" t="n"/>
      <c r="C605" s="31" t="n"/>
      <c r="D605" s="30" t="n"/>
      <c r="E605" s="33" t="n"/>
      <c r="F605" s="20">
        <f>IF(A605="","",WEEKNUM(A605,21))</f>
        <v/>
      </c>
      <c r="G605" s="21">
        <f>IF(OR(C605="",N(D605)=0),"",C605/D605)</f>
        <v/>
      </c>
      <c r="H605" s="21">
        <f>IF(A605="","",IFERROR(INDEX(Weight!$B$2:$B$1000,MATCH(IF(_xlfn.MAXIFS(Weight!$A$2:$A$1000,Weight!$A$2:$A$1000,"&lt;="&amp;A605)&gt;0,_xlfn.MAXIFS(Weight!$A$2:$A$1000,Weight!$A$2:$A$1000,"&lt;="&amp;A605),_xlfn.MINIFS(Weight!$A$2:$A$1000,Weight!$A$2:$A$1000,"&gt;0")),Weight!$A$2:$A$1000,0)),Settings!$B$6))</f>
        <v/>
      </c>
      <c r="I605" s="21">
        <f>IF(B605="","",IFERROR(INDEX(Settings!$B$10:$B$21,MATCH(B605,Settings!$A$10:$A$21,0)),4))</f>
        <v/>
      </c>
      <c r="J605" s="22">
        <f>IF(OR(A605="",C605="",I605=""),"",I605*H605*C605/60)</f>
        <v/>
      </c>
    </row>
    <row r="606">
      <c r="A606" s="35" t="n"/>
      <c r="B606" s="33" t="n"/>
      <c r="C606" s="31" t="n"/>
      <c r="D606" s="30" t="n"/>
      <c r="E606" s="33" t="n"/>
      <c r="F606" s="20">
        <f>IF(A606="","",WEEKNUM(A606,21))</f>
        <v/>
      </c>
      <c r="G606" s="21">
        <f>IF(OR(C606="",N(D606)=0),"",C606/D606)</f>
        <v/>
      </c>
      <c r="H606" s="21">
        <f>IF(A606="","",IFERROR(INDEX(Weight!$B$2:$B$1000,MATCH(IF(_xlfn.MAXIFS(Weight!$A$2:$A$1000,Weight!$A$2:$A$1000,"&lt;="&amp;A606)&gt;0,_xlfn.MAXIFS(Weight!$A$2:$A$1000,Weight!$A$2:$A$1000,"&lt;="&amp;A606),_xlfn.MINIFS(Weight!$A$2:$A$1000,Weight!$A$2:$A$1000,"&gt;0")),Weight!$A$2:$A$1000,0)),Settings!$B$6))</f>
        <v/>
      </c>
      <c r="I606" s="21">
        <f>IF(B606="","",IFERROR(INDEX(Settings!$B$10:$B$21,MATCH(B606,Settings!$A$10:$A$21,0)),4))</f>
        <v/>
      </c>
      <c r="J606" s="22">
        <f>IF(OR(A606="",C606="",I606=""),"",I606*H606*C606/60)</f>
        <v/>
      </c>
    </row>
    <row r="607">
      <c r="A607" s="35" t="n"/>
      <c r="B607" s="33" t="n"/>
      <c r="C607" s="31" t="n"/>
      <c r="D607" s="30" t="n"/>
      <c r="E607" s="33" t="n"/>
      <c r="F607" s="20">
        <f>IF(A607="","",WEEKNUM(A607,21))</f>
        <v/>
      </c>
      <c r="G607" s="21">
        <f>IF(OR(C607="",N(D607)=0),"",C607/D607)</f>
        <v/>
      </c>
      <c r="H607" s="21">
        <f>IF(A607="","",IFERROR(INDEX(Weight!$B$2:$B$1000,MATCH(IF(_xlfn.MAXIFS(Weight!$A$2:$A$1000,Weight!$A$2:$A$1000,"&lt;="&amp;A607)&gt;0,_xlfn.MAXIFS(Weight!$A$2:$A$1000,Weight!$A$2:$A$1000,"&lt;="&amp;A607),_xlfn.MINIFS(Weight!$A$2:$A$1000,Weight!$A$2:$A$1000,"&gt;0")),Weight!$A$2:$A$1000,0)),Settings!$B$6))</f>
        <v/>
      </c>
      <c r="I607" s="21">
        <f>IF(B607="","",IFERROR(INDEX(Settings!$B$10:$B$21,MATCH(B607,Settings!$A$10:$A$21,0)),4))</f>
        <v/>
      </c>
      <c r="J607" s="22">
        <f>IF(OR(A607="",C607="",I607=""),"",I607*H607*C607/60)</f>
        <v/>
      </c>
    </row>
    <row r="608">
      <c r="A608" s="35" t="n"/>
      <c r="B608" s="33" t="n"/>
      <c r="C608" s="31" t="n"/>
      <c r="D608" s="30" t="n"/>
      <c r="E608" s="33" t="n"/>
      <c r="F608" s="20">
        <f>IF(A608="","",WEEKNUM(A608,21))</f>
        <v/>
      </c>
      <c r="G608" s="21">
        <f>IF(OR(C608="",N(D608)=0),"",C608/D608)</f>
        <v/>
      </c>
      <c r="H608" s="21">
        <f>IF(A608="","",IFERROR(INDEX(Weight!$B$2:$B$1000,MATCH(IF(_xlfn.MAXIFS(Weight!$A$2:$A$1000,Weight!$A$2:$A$1000,"&lt;="&amp;A608)&gt;0,_xlfn.MAXIFS(Weight!$A$2:$A$1000,Weight!$A$2:$A$1000,"&lt;="&amp;A608),_xlfn.MINIFS(Weight!$A$2:$A$1000,Weight!$A$2:$A$1000,"&gt;0")),Weight!$A$2:$A$1000,0)),Settings!$B$6))</f>
        <v/>
      </c>
      <c r="I608" s="21">
        <f>IF(B608="","",IFERROR(INDEX(Settings!$B$10:$B$21,MATCH(B608,Settings!$A$10:$A$21,0)),4))</f>
        <v/>
      </c>
      <c r="J608" s="22">
        <f>IF(OR(A608="",C608="",I608=""),"",I608*H608*C608/60)</f>
        <v/>
      </c>
    </row>
    <row r="609">
      <c r="A609" s="35" t="n"/>
      <c r="B609" s="33" t="n"/>
      <c r="C609" s="31" t="n"/>
      <c r="D609" s="30" t="n"/>
      <c r="E609" s="33" t="n"/>
      <c r="F609" s="20">
        <f>IF(A609="","",WEEKNUM(A609,21))</f>
        <v/>
      </c>
      <c r="G609" s="21">
        <f>IF(OR(C609="",N(D609)=0),"",C609/D609)</f>
        <v/>
      </c>
      <c r="H609" s="21">
        <f>IF(A609="","",IFERROR(INDEX(Weight!$B$2:$B$1000,MATCH(IF(_xlfn.MAXIFS(Weight!$A$2:$A$1000,Weight!$A$2:$A$1000,"&lt;="&amp;A609)&gt;0,_xlfn.MAXIFS(Weight!$A$2:$A$1000,Weight!$A$2:$A$1000,"&lt;="&amp;A609),_xlfn.MINIFS(Weight!$A$2:$A$1000,Weight!$A$2:$A$1000,"&gt;0")),Weight!$A$2:$A$1000,0)),Settings!$B$6))</f>
        <v/>
      </c>
      <c r="I609" s="21">
        <f>IF(B609="","",IFERROR(INDEX(Settings!$B$10:$B$21,MATCH(B609,Settings!$A$10:$A$21,0)),4))</f>
        <v/>
      </c>
      <c r="J609" s="22">
        <f>IF(OR(A609="",C609="",I609=""),"",I609*H609*C609/60)</f>
        <v/>
      </c>
    </row>
    <row r="610">
      <c r="A610" s="35" t="n"/>
      <c r="B610" s="33" t="n"/>
      <c r="C610" s="31" t="n"/>
      <c r="D610" s="30" t="n"/>
      <c r="E610" s="33" t="n"/>
      <c r="F610" s="20">
        <f>IF(A610="","",WEEKNUM(A610,21))</f>
        <v/>
      </c>
      <c r="G610" s="21">
        <f>IF(OR(C610="",N(D610)=0),"",C610/D610)</f>
        <v/>
      </c>
      <c r="H610" s="21">
        <f>IF(A610="","",IFERROR(INDEX(Weight!$B$2:$B$1000,MATCH(IF(_xlfn.MAXIFS(Weight!$A$2:$A$1000,Weight!$A$2:$A$1000,"&lt;="&amp;A610)&gt;0,_xlfn.MAXIFS(Weight!$A$2:$A$1000,Weight!$A$2:$A$1000,"&lt;="&amp;A610),_xlfn.MINIFS(Weight!$A$2:$A$1000,Weight!$A$2:$A$1000,"&gt;0")),Weight!$A$2:$A$1000,0)),Settings!$B$6))</f>
        <v/>
      </c>
      <c r="I610" s="21">
        <f>IF(B610="","",IFERROR(INDEX(Settings!$B$10:$B$21,MATCH(B610,Settings!$A$10:$A$21,0)),4))</f>
        <v/>
      </c>
      <c r="J610" s="22">
        <f>IF(OR(A610="",C610="",I610=""),"",I610*H610*C610/60)</f>
        <v/>
      </c>
    </row>
    <row r="611">
      <c r="A611" s="35" t="n"/>
      <c r="B611" s="33" t="n"/>
      <c r="C611" s="31" t="n"/>
      <c r="D611" s="30" t="n"/>
      <c r="E611" s="33" t="n"/>
      <c r="F611" s="20">
        <f>IF(A611="","",WEEKNUM(A611,21))</f>
        <v/>
      </c>
      <c r="G611" s="21">
        <f>IF(OR(C611="",N(D611)=0),"",C611/D611)</f>
        <v/>
      </c>
      <c r="H611" s="21">
        <f>IF(A611="","",IFERROR(INDEX(Weight!$B$2:$B$1000,MATCH(IF(_xlfn.MAXIFS(Weight!$A$2:$A$1000,Weight!$A$2:$A$1000,"&lt;="&amp;A611)&gt;0,_xlfn.MAXIFS(Weight!$A$2:$A$1000,Weight!$A$2:$A$1000,"&lt;="&amp;A611),_xlfn.MINIFS(Weight!$A$2:$A$1000,Weight!$A$2:$A$1000,"&gt;0")),Weight!$A$2:$A$1000,0)),Settings!$B$6))</f>
        <v/>
      </c>
      <c r="I611" s="21">
        <f>IF(B611="","",IFERROR(INDEX(Settings!$B$10:$B$21,MATCH(B611,Settings!$A$10:$A$21,0)),4))</f>
        <v/>
      </c>
      <c r="J611" s="22">
        <f>IF(OR(A611="",C611="",I611=""),"",I611*H611*C611/60)</f>
        <v/>
      </c>
    </row>
    <row r="612">
      <c r="A612" s="35" t="n"/>
      <c r="B612" s="33" t="n"/>
      <c r="C612" s="31" t="n"/>
      <c r="D612" s="30" t="n"/>
      <c r="E612" s="33" t="n"/>
      <c r="F612" s="20">
        <f>IF(A612="","",WEEKNUM(A612,21))</f>
        <v/>
      </c>
      <c r="G612" s="21">
        <f>IF(OR(C612="",N(D612)=0),"",C612/D612)</f>
        <v/>
      </c>
      <c r="H612" s="21">
        <f>IF(A612="","",IFERROR(INDEX(Weight!$B$2:$B$1000,MATCH(IF(_xlfn.MAXIFS(Weight!$A$2:$A$1000,Weight!$A$2:$A$1000,"&lt;="&amp;A612)&gt;0,_xlfn.MAXIFS(Weight!$A$2:$A$1000,Weight!$A$2:$A$1000,"&lt;="&amp;A612),_xlfn.MINIFS(Weight!$A$2:$A$1000,Weight!$A$2:$A$1000,"&gt;0")),Weight!$A$2:$A$1000,0)),Settings!$B$6))</f>
        <v/>
      </c>
      <c r="I612" s="21">
        <f>IF(B612="","",IFERROR(INDEX(Settings!$B$10:$B$21,MATCH(B612,Settings!$A$10:$A$21,0)),4))</f>
        <v/>
      </c>
      <c r="J612" s="22">
        <f>IF(OR(A612="",C612="",I612=""),"",I612*H612*C612/60)</f>
        <v/>
      </c>
    </row>
    <row r="613">
      <c r="A613" s="35" t="n"/>
      <c r="B613" s="33" t="n"/>
      <c r="C613" s="31" t="n"/>
      <c r="D613" s="30" t="n"/>
      <c r="E613" s="33" t="n"/>
      <c r="F613" s="20">
        <f>IF(A613="","",WEEKNUM(A613,21))</f>
        <v/>
      </c>
      <c r="G613" s="21">
        <f>IF(OR(C613="",N(D613)=0),"",C613/D613)</f>
        <v/>
      </c>
      <c r="H613" s="21">
        <f>IF(A613="","",IFERROR(INDEX(Weight!$B$2:$B$1000,MATCH(IF(_xlfn.MAXIFS(Weight!$A$2:$A$1000,Weight!$A$2:$A$1000,"&lt;="&amp;A613)&gt;0,_xlfn.MAXIFS(Weight!$A$2:$A$1000,Weight!$A$2:$A$1000,"&lt;="&amp;A613),_xlfn.MINIFS(Weight!$A$2:$A$1000,Weight!$A$2:$A$1000,"&gt;0")),Weight!$A$2:$A$1000,0)),Settings!$B$6))</f>
        <v/>
      </c>
      <c r="I613" s="21">
        <f>IF(B613="","",IFERROR(INDEX(Settings!$B$10:$B$21,MATCH(B613,Settings!$A$10:$A$21,0)),4))</f>
        <v/>
      </c>
      <c r="J613" s="22">
        <f>IF(OR(A613="",C613="",I613=""),"",I613*H613*C613/60)</f>
        <v/>
      </c>
    </row>
    <row r="614">
      <c r="A614" s="35" t="n"/>
      <c r="B614" s="33" t="n"/>
      <c r="C614" s="31" t="n"/>
      <c r="D614" s="30" t="n"/>
      <c r="E614" s="33" t="n"/>
      <c r="F614" s="20">
        <f>IF(A614="","",WEEKNUM(A614,21))</f>
        <v/>
      </c>
      <c r="G614" s="21">
        <f>IF(OR(C614="",N(D614)=0),"",C614/D614)</f>
        <v/>
      </c>
      <c r="H614" s="21">
        <f>IF(A614="","",IFERROR(INDEX(Weight!$B$2:$B$1000,MATCH(IF(_xlfn.MAXIFS(Weight!$A$2:$A$1000,Weight!$A$2:$A$1000,"&lt;="&amp;A614)&gt;0,_xlfn.MAXIFS(Weight!$A$2:$A$1000,Weight!$A$2:$A$1000,"&lt;="&amp;A614),_xlfn.MINIFS(Weight!$A$2:$A$1000,Weight!$A$2:$A$1000,"&gt;0")),Weight!$A$2:$A$1000,0)),Settings!$B$6))</f>
        <v/>
      </c>
      <c r="I614" s="21">
        <f>IF(B614="","",IFERROR(INDEX(Settings!$B$10:$B$21,MATCH(B614,Settings!$A$10:$A$21,0)),4))</f>
        <v/>
      </c>
      <c r="J614" s="22">
        <f>IF(OR(A614="",C614="",I614=""),"",I614*H614*C614/60)</f>
        <v/>
      </c>
    </row>
    <row r="615">
      <c r="A615" s="35" t="n"/>
      <c r="B615" s="33" t="n"/>
      <c r="C615" s="31" t="n"/>
      <c r="D615" s="30" t="n"/>
      <c r="E615" s="33" t="n"/>
      <c r="F615" s="20">
        <f>IF(A615="","",WEEKNUM(A615,21))</f>
        <v/>
      </c>
      <c r="G615" s="21">
        <f>IF(OR(C615="",N(D615)=0),"",C615/D615)</f>
        <v/>
      </c>
      <c r="H615" s="21">
        <f>IF(A615="","",IFERROR(INDEX(Weight!$B$2:$B$1000,MATCH(IF(_xlfn.MAXIFS(Weight!$A$2:$A$1000,Weight!$A$2:$A$1000,"&lt;="&amp;A615)&gt;0,_xlfn.MAXIFS(Weight!$A$2:$A$1000,Weight!$A$2:$A$1000,"&lt;="&amp;A615),_xlfn.MINIFS(Weight!$A$2:$A$1000,Weight!$A$2:$A$1000,"&gt;0")),Weight!$A$2:$A$1000,0)),Settings!$B$6))</f>
        <v/>
      </c>
      <c r="I615" s="21">
        <f>IF(B615="","",IFERROR(INDEX(Settings!$B$10:$B$21,MATCH(B615,Settings!$A$10:$A$21,0)),4))</f>
        <v/>
      </c>
      <c r="J615" s="22">
        <f>IF(OR(A615="",C615="",I615=""),"",I615*H615*C615/60)</f>
        <v/>
      </c>
    </row>
    <row r="616">
      <c r="A616" s="35" t="n"/>
      <c r="B616" s="33" t="n"/>
      <c r="C616" s="31" t="n"/>
      <c r="D616" s="30" t="n"/>
      <c r="E616" s="33" t="n"/>
      <c r="F616" s="20">
        <f>IF(A616="","",WEEKNUM(A616,21))</f>
        <v/>
      </c>
      <c r="G616" s="21">
        <f>IF(OR(C616="",N(D616)=0),"",C616/D616)</f>
        <v/>
      </c>
      <c r="H616" s="21">
        <f>IF(A616="","",IFERROR(INDEX(Weight!$B$2:$B$1000,MATCH(IF(_xlfn.MAXIFS(Weight!$A$2:$A$1000,Weight!$A$2:$A$1000,"&lt;="&amp;A616)&gt;0,_xlfn.MAXIFS(Weight!$A$2:$A$1000,Weight!$A$2:$A$1000,"&lt;="&amp;A616),_xlfn.MINIFS(Weight!$A$2:$A$1000,Weight!$A$2:$A$1000,"&gt;0")),Weight!$A$2:$A$1000,0)),Settings!$B$6))</f>
        <v/>
      </c>
      <c r="I616" s="21">
        <f>IF(B616="","",IFERROR(INDEX(Settings!$B$10:$B$21,MATCH(B616,Settings!$A$10:$A$21,0)),4))</f>
        <v/>
      </c>
      <c r="J616" s="22">
        <f>IF(OR(A616="",C616="",I616=""),"",I616*H616*C616/60)</f>
        <v/>
      </c>
    </row>
    <row r="617">
      <c r="A617" s="35" t="n"/>
      <c r="B617" s="33" t="n"/>
      <c r="C617" s="31" t="n"/>
      <c r="D617" s="30" t="n"/>
      <c r="E617" s="33" t="n"/>
      <c r="F617" s="20">
        <f>IF(A617="","",WEEKNUM(A617,21))</f>
        <v/>
      </c>
      <c r="G617" s="21">
        <f>IF(OR(C617="",N(D617)=0),"",C617/D617)</f>
        <v/>
      </c>
      <c r="H617" s="21">
        <f>IF(A617="","",IFERROR(INDEX(Weight!$B$2:$B$1000,MATCH(IF(_xlfn.MAXIFS(Weight!$A$2:$A$1000,Weight!$A$2:$A$1000,"&lt;="&amp;A617)&gt;0,_xlfn.MAXIFS(Weight!$A$2:$A$1000,Weight!$A$2:$A$1000,"&lt;="&amp;A617),_xlfn.MINIFS(Weight!$A$2:$A$1000,Weight!$A$2:$A$1000,"&gt;0")),Weight!$A$2:$A$1000,0)),Settings!$B$6))</f>
        <v/>
      </c>
      <c r="I617" s="21">
        <f>IF(B617="","",IFERROR(INDEX(Settings!$B$10:$B$21,MATCH(B617,Settings!$A$10:$A$21,0)),4))</f>
        <v/>
      </c>
      <c r="J617" s="22">
        <f>IF(OR(A617="",C617="",I617=""),"",I617*H617*C617/60)</f>
        <v/>
      </c>
    </row>
    <row r="618">
      <c r="A618" s="35" t="n"/>
      <c r="B618" s="33" t="n"/>
      <c r="C618" s="31" t="n"/>
      <c r="D618" s="30" t="n"/>
      <c r="E618" s="33" t="n"/>
      <c r="F618" s="20">
        <f>IF(A618="","",WEEKNUM(A618,21))</f>
        <v/>
      </c>
      <c r="G618" s="21">
        <f>IF(OR(C618="",N(D618)=0),"",C618/D618)</f>
        <v/>
      </c>
      <c r="H618" s="21">
        <f>IF(A618="","",IFERROR(INDEX(Weight!$B$2:$B$1000,MATCH(IF(_xlfn.MAXIFS(Weight!$A$2:$A$1000,Weight!$A$2:$A$1000,"&lt;="&amp;A618)&gt;0,_xlfn.MAXIFS(Weight!$A$2:$A$1000,Weight!$A$2:$A$1000,"&lt;="&amp;A618),_xlfn.MINIFS(Weight!$A$2:$A$1000,Weight!$A$2:$A$1000,"&gt;0")),Weight!$A$2:$A$1000,0)),Settings!$B$6))</f>
        <v/>
      </c>
      <c r="I618" s="21">
        <f>IF(B618="","",IFERROR(INDEX(Settings!$B$10:$B$21,MATCH(B618,Settings!$A$10:$A$21,0)),4))</f>
        <v/>
      </c>
      <c r="J618" s="22">
        <f>IF(OR(A618="",C618="",I618=""),"",I618*H618*C618/60)</f>
        <v/>
      </c>
    </row>
    <row r="619">
      <c r="A619" s="35" t="n"/>
      <c r="B619" s="33" t="n"/>
      <c r="C619" s="31" t="n"/>
      <c r="D619" s="30" t="n"/>
      <c r="E619" s="33" t="n"/>
      <c r="F619" s="20">
        <f>IF(A619="","",WEEKNUM(A619,21))</f>
        <v/>
      </c>
      <c r="G619" s="21">
        <f>IF(OR(C619="",N(D619)=0),"",C619/D619)</f>
        <v/>
      </c>
      <c r="H619" s="21">
        <f>IF(A619="","",IFERROR(INDEX(Weight!$B$2:$B$1000,MATCH(IF(_xlfn.MAXIFS(Weight!$A$2:$A$1000,Weight!$A$2:$A$1000,"&lt;="&amp;A619)&gt;0,_xlfn.MAXIFS(Weight!$A$2:$A$1000,Weight!$A$2:$A$1000,"&lt;="&amp;A619),_xlfn.MINIFS(Weight!$A$2:$A$1000,Weight!$A$2:$A$1000,"&gt;0")),Weight!$A$2:$A$1000,0)),Settings!$B$6))</f>
        <v/>
      </c>
      <c r="I619" s="21">
        <f>IF(B619="","",IFERROR(INDEX(Settings!$B$10:$B$21,MATCH(B619,Settings!$A$10:$A$21,0)),4))</f>
        <v/>
      </c>
      <c r="J619" s="22">
        <f>IF(OR(A619="",C619="",I619=""),"",I619*H619*C619/60)</f>
        <v/>
      </c>
    </row>
    <row r="620">
      <c r="A620" s="35" t="n"/>
      <c r="B620" s="33" t="n"/>
      <c r="C620" s="31" t="n"/>
      <c r="D620" s="30" t="n"/>
      <c r="E620" s="33" t="n"/>
      <c r="F620" s="20">
        <f>IF(A620="","",WEEKNUM(A620,21))</f>
        <v/>
      </c>
      <c r="G620" s="21">
        <f>IF(OR(C620="",N(D620)=0),"",C620/D620)</f>
        <v/>
      </c>
      <c r="H620" s="21">
        <f>IF(A620="","",IFERROR(INDEX(Weight!$B$2:$B$1000,MATCH(IF(_xlfn.MAXIFS(Weight!$A$2:$A$1000,Weight!$A$2:$A$1000,"&lt;="&amp;A620)&gt;0,_xlfn.MAXIFS(Weight!$A$2:$A$1000,Weight!$A$2:$A$1000,"&lt;="&amp;A620),_xlfn.MINIFS(Weight!$A$2:$A$1000,Weight!$A$2:$A$1000,"&gt;0")),Weight!$A$2:$A$1000,0)),Settings!$B$6))</f>
        <v/>
      </c>
      <c r="I620" s="21">
        <f>IF(B620="","",IFERROR(INDEX(Settings!$B$10:$B$21,MATCH(B620,Settings!$A$10:$A$21,0)),4))</f>
        <v/>
      </c>
      <c r="J620" s="22">
        <f>IF(OR(A620="",C620="",I620=""),"",I620*H620*C620/60)</f>
        <v/>
      </c>
    </row>
    <row r="621">
      <c r="A621" s="35" t="n"/>
      <c r="B621" s="33" t="n"/>
      <c r="C621" s="31" t="n"/>
      <c r="D621" s="30" t="n"/>
      <c r="E621" s="33" t="n"/>
      <c r="F621" s="20">
        <f>IF(A621="","",WEEKNUM(A621,21))</f>
        <v/>
      </c>
      <c r="G621" s="21">
        <f>IF(OR(C621="",N(D621)=0),"",C621/D621)</f>
        <v/>
      </c>
      <c r="H621" s="21">
        <f>IF(A621="","",IFERROR(INDEX(Weight!$B$2:$B$1000,MATCH(IF(_xlfn.MAXIFS(Weight!$A$2:$A$1000,Weight!$A$2:$A$1000,"&lt;="&amp;A621)&gt;0,_xlfn.MAXIFS(Weight!$A$2:$A$1000,Weight!$A$2:$A$1000,"&lt;="&amp;A621),_xlfn.MINIFS(Weight!$A$2:$A$1000,Weight!$A$2:$A$1000,"&gt;0")),Weight!$A$2:$A$1000,0)),Settings!$B$6))</f>
        <v/>
      </c>
      <c r="I621" s="21">
        <f>IF(B621="","",IFERROR(INDEX(Settings!$B$10:$B$21,MATCH(B621,Settings!$A$10:$A$21,0)),4))</f>
        <v/>
      </c>
      <c r="J621" s="22">
        <f>IF(OR(A621="",C621="",I621=""),"",I621*H621*C621/60)</f>
        <v/>
      </c>
    </row>
    <row r="622">
      <c r="A622" s="35" t="n"/>
      <c r="B622" s="33" t="n"/>
      <c r="C622" s="31" t="n"/>
      <c r="D622" s="30" t="n"/>
      <c r="E622" s="33" t="n"/>
      <c r="F622" s="20">
        <f>IF(A622="","",WEEKNUM(A622,21))</f>
        <v/>
      </c>
      <c r="G622" s="21">
        <f>IF(OR(C622="",N(D622)=0),"",C622/D622)</f>
        <v/>
      </c>
      <c r="H622" s="21">
        <f>IF(A622="","",IFERROR(INDEX(Weight!$B$2:$B$1000,MATCH(IF(_xlfn.MAXIFS(Weight!$A$2:$A$1000,Weight!$A$2:$A$1000,"&lt;="&amp;A622)&gt;0,_xlfn.MAXIFS(Weight!$A$2:$A$1000,Weight!$A$2:$A$1000,"&lt;="&amp;A622),_xlfn.MINIFS(Weight!$A$2:$A$1000,Weight!$A$2:$A$1000,"&gt;0")),Weight!$A$2:$A$1000,0)),Settings!$B$6))</f>
        <v/>
      </c>
      <c r="I622" s="21">
        <f>IF(B622="","",IFERROR(INDEX(Settings!$B$10:$B$21,MATCH(B622,Settings!$A$10:$A$21,0)),4))</f>
        <v/>
      </c>
      <c r="J622" s="22">
        <f>IF(OR(A622="",C622="",I622=""),"",I622*H622*C622/60)</f>
        <v/>
      </c>
    </row>
    <row r="623">
      <c r="A623" s="35" t="n"/>
      <c r="B623" s="33" t="n"/>
      <c r="C623" s="31" t="n"/>
      <c r="D623" s="30" t="n"/>
      <c r="E623" s="33" t="n"/>
      <c r="F623" s="20">
        <f>IF(A623="","",WEEKNUM(A623,21))</f>
        <v/>
      </c>
      <c r="G623" s="21">
        <f>IF(OR(C623="",N(D623)=0),"",C623/D623)</f>
        <v/>
      </c>
      <c r="H623" s="21">
        <f>IF(A623="","",IFERROR(INDEX(Weight!$B$2:$B$1000,MATCH(IF(_xlfn.MAXIFS(Weight!$A$2:$A$1000,Weight!$A$2:$A$1000,"&lt;="&amp;A623)&gt;0,_xlfn.MAXIFS(Weight!$A$2:$A$1000,Weight!$A$2:$A$1000,"&lt;="&amp;A623),_xlfn.MINIFS(Weight!$A$2:$A$1000,Weight!$A$2:$A$1000,"&gt;0")),Weight!$A$2:$A$1000,0)),Settings!$B$6))</f>
        <v/>
      </c>
      <c r="I623" s="21">
        <f>IF(B623="","",IFERROR(INDEX(Settings!$B$10:$B$21,MATCH(B623,Settings!$A$10:$A$21,0)),4))</f>
        <v/>
      </c>
      <c r="J623" s="22">
        <f>IF(OR(A623="",C623="",I623=""),"",I623*H623*C623/60)</f>
        <v/>
      </c>
    </row>
    <row r="624">
      <c r="A624" s="35" t="n"/>
      <c r="B624" s="33" t="n"/>
      <c r="C624" s="31" t="n"/>
      <c r="D624" s="30" t="n"/>
      <c r="E624" s="33" t="n"/>
      <c r="F624" s="20">
        <f>IF(A624="","",WEEKNUM(A624,21))</f>
        <v/>
      </c>
      <c r="G624" s="21">
        <f>IF(OR(C624="",N(D624)=0),"",C624/D624)</f>
        <v/>
      </c>
      <c r="H624" s="21">
        <f>IF(A624="","",IFERROR(INDEX(Weight!$B$2:$B$1000,MATCH(IF(_xlfn.MAXIFS(Weight!$A$2:$A$1000,Weight!$A$2:$A$1000,"&lt;="&amp;A624)&gt;0,_xlfn.MAXIFS(Weight!$A$2:$A$1000,Weight!$A$2:$A$1000,"&lt;="&amp;A624),_xlfn.MINIFS(Weight!$A$2:$A$1000,Weight!$A$2:$A$1000,"&gt;0")),Weight!$A$2:$A$1000,0)),Settings!$B$6))</f>
        <v/>
      </c>
      <c r="I624" s="21">
        <f>IF(B624="","",IFERROR(INDEX(Settings!$B$10:$B$21,MATCH(B624,Settings!$A$10:$A$21,0)),4))</f>
        <v/>
      </c>
      <c r="J624" s="22">
        <f>IF(OR(A624="",C624="",I624=""),"",I624*H624*C624/60)</f>
        <v/>
      </c>
    </row>
    <row r="625">
      <c r="A625" s="35" t="n"/>
      <c r="B625" s="33" t="n"/>
      <c r="C625" s="31" t="n"/>
      <c r="D625" s="30" t="n"/>
      <c r="E625" s="33" t="n"/>
      <c r="F625" s="20">
        <f>IF(A625="","",WEEKNUM(A625,21))</f>
        <v/>
      </c>
      <c r="G625" s="21">
        <f>IF(OR(C625="",N(D625)=0),"",C625/D625)</f>
        <v/>
      </c>
      <c r="H625" s="21">
        <f>IF(A625="","",IFERROR(INDEX(Weight!$B$2:$B$1000,MATCH(IF(_xlfn.MAXIFS(Weight!$A$2:$A$1000,Weight!$A$2:$A$1000,"&lt;="&amp;A625)&gt;0,_xlfn.MAXIFS(Weight!$A$2:$A$1000,Weight!$A$2:$A$1000,"&lt;="&amp;A625),_xlfn.MINIFS(Weight!$A$2:$A$1000,Weight!$A$2:$A$1000,"&gt;0")),Weight!$A$2:$A$1000,0)),Settings!$B$6))</f>
        <v/>
      </c>
      <c r="I625" s="21">
        <f>IF(B625="","",IFERROR(INDEX(Settings!$B$10:$B$21,MATCH(B625,Settings!$A$10:$A$21,0)),4))</f>
        <v/>
      </c>
      <c r="J625" s="22">
        <f>IF(OR(A625="",C625="",I625=""),"",I625*H625*C625/60)</f>
        <v/>
      </c>
    </row>
    <row r="626">
      <c r="A626" s="35" t="n"/>
      <c r="B626" s="33" t="n"/>
      <c r="C626" s="31" t="n"/>
      <c r="D626" s="30" t="n"/>
      <c r="E626" s="33" t="n"/>
      <c r="F626" s="20">
        <f>IF(A626="","",WEEKNUM(A626,21))</f>
        <v/>
      </c>
      <c r="G626" s="21">
        <f>IF(OR(C626="",N(D626)=0),"",C626/D626)</f>
        <v/>
      </c>
      <c r="H626" s="21">
        <f>IF(A626="","",IFERROR(INDEX(Weight!$B$2:$B$1000,MATCH(IF(_xlfn.MAXIFS(Weight!$A$2:$A$1000,Weight!$A$2:$A$1000,"&lt;="&amp;A626)&gt;0,_xlfn.MAXIFS(Weight!$A$2:$A$1000,Weight!$A$2:$A$1000,"&lt;="&amp;A626),_xlfn.MINIFS(Weight!$A$2:$A$1000,Weight!$A$2:$A$1000,"&gt;0")),Weight!$A$2:$A$1000,0)),Settings!$B$6))</f>
        <v/>
      </c>
      <c r="I626" s="21">
        <f>IF(B626="","",IFERROR(INDEX(Settings!$B$10:$B$21,MATCH(B626,Settings!$A$10:$A$21,0)),4))</f>
        <v/>
      </c>
      <c r="J626" s="22">
        <f>IF(OR(A626="",C626="",I626=""),"",I626*H626*C626/60)</f>
        <v/>
      </c>
    </row>
    <row r="627">
      <c r="A627" s="35" t="n"/>
      <c r="B627" s="33" t="n"/>
      <c r="C627" s="31" t="n"/>
      <c r="D627" s="30" t="n"/>
      <c r="E627" s="33" t="n"/>
      <c r="F627" s="20">
        <f>IF(A627="","",WEEKNUM(A627,21))</f>
        <v/>
      </c>
      <c r="G627" s="21">
        <f>IF(OR(C627="",N(D627)=0),"",C627/D627)</f>
        <v/>
      </c>
      <c r="H627" s="21">
        <f>IF(A627="","",IFERROR(INDEX(Weight!$B$2:$B$1000,MATCH(IF(_xlfn.MAXIFS(Weight!$A$2:$A$1000,Weight!$A$2:$A$1000,"&lt;="&amp;A627)&gt;0,_xlfn.MAXIFS(Weight!$A$2:$A$1000,Weight!$A$2:$A$1000,"&lt;="&amp;A627),_xlfn.MINIFS(Weight!$A$2:$A$1000,Weight!$A$2:$A$1000,"&gt;0")),Weight!$A$2:$A$1000,0)),Settings!$B$6))</f>
        <v/>
      </c>
      <c r="I627" s="21">
        <f>IF(B627="","",IFERROR(INDEX(Settings!$B$10:$B$21,MATCH(B627,Settings!$A$10:$A$21,0)),4))</f>
        <v/>
      </c>
      <c r="J627" s="22">
        <f>IF(OR(A627="",C627="",I627=""),"",I627*H627*C627/60)</f>
        <v/>
      </c>
    </row>
    <row r="628">
      <c r="A628" s="35" t="n"/>
      <c r="B628" s="33" t="n"/>
      <c r="C628" s="31" t="n"/>
      <c r="D628" s="30" t="n"/>
      <c r="E628" s="33" t="n"/>
      <c r="F628" s="20">
        <f>IF(A628="","",WEEKNUM(A628,21))</f>
        <v/>
      </c>
      <c r="G628" s="21">
        <f>IF(OR(C628="",N(D628)=0),"",C628/D628)</f>
        <v/>
      </c>
      <c r="H628" s="21">
        <f>IF(A628="","",IFERROR(INDEX(Weight!$B$2:$B$1000,MATCH(IF(_xlfn.MAXIFS(Weight!$A$2:$A$1000,Weight!$A$2:$A$1000,"&lt;="&amp;A628)&gt;0,_xlfn.MAXIFS(Weight!$A$2:$A$1000,Weight!$A$2:$A$1000,"&lt;="&amp;A628),_xlfn.MINIFS(Weight!$A$2:$A$1000,Weight!$A$2:$A$1000,"&gt;0")),Weight!$A$2:$A$1000,0)),Settings!$B$6))</f>
        <v/>
      </c>
      <c r="I628" s="21">
        <f>IF(B628="","",IFERROR(INDEX(Settings!$B$10:$B$21,MATCH(B628,Settings!$A$10:$A$21,0)),4))</f>
        <v/>
      </c>
      <c r="J628" s="22">
        <f>IF(OR(A628="",C628="",I628=""),"",I628*H628*C628/60)</f>
        <v/>
      </c>
    </row>
    <row r="629">
      <c r="A629" s="35" t="n"/>
      <c r="B629" s="33" t="n"/>
      <c r="C629" s="31" t="n"/>
      <c r="D629" s="30" t="n"/>
      <c r="E629" s="33" t="n"/>
      <c r="F629" s="20">
        <f>IF(A629="","",WEEKNUM(A629,21))</f>
        <v/>
      </c>
      <c r="G629" s="21">
        <f>IF(OR(C629="",N(D629)=0),"",C629/D629)</f>
        <v/>
      </c>
      <c r="H629" s="21">
        <f>IF(A629="","",IFERROR(INDEX(Weight!$B$2:$B$1000,MATCH(IF(_xlfn.MAXIFS(Weight!$A$2:$A$1000,Weight!$A$2:$A$1000,"&lt;="&amp;A629)&gt;0,_xlfn.MAXIFS(Weight!$A$2:$A$1000,Weight!$A$2:$A$1000,"&lt;="&amp;A629),_xlfn.MINIFS(Weight!$A$2:$A$1000,Weight!$A$2:$A$1000,"&gt;0")),Weight!$A$2:$A$1000,0)),Settings!$B$6))</f>
        <v/>
      </c>
      <c r="I629" s="21">
        <f>IF(B629="","",IFERROR(INDEX(Settings!$B$10:$B$21,MATCH(B629,Settings!$A$10:$A$21,0)),4))</f>
        <v/>
      </c>
      <c r="J629" s="22">
        <f>IF(OR(A629="",C629="",I629=""),"",I629*H629*C629/60)</f>
        <v/>
      </c>
    </row>
    <row r="630">
      <c r="A630" s="35" t="n"/>
      <c r="B630" s="33" t="n"/>
      <c r="C630" s="31" t="n"/>
      <c r="D630" s="30" t="n"/>
      <c r="E630" s="33" t="n"/>
      <c r="F630" s="20">
        <f>IF(A630="","",WEEKNUM(A630,21))</f>
        <v/>
      </c>
      <c r="G630" s="21">
        <f>IF(OR(C630="",N(D630)=0),"",C630/D630)</f>
        <v/>
      </c>
      <c r="H630" s="21">
        <f>IF(A630="","",IFERROR(INDEX(Weight!$B$2:$B$1000,MATCH(IF(_xlfn.MAXIFS(Weight!$A$2:$A$1000,Weight!$A$2:$A$1000,"&lt;="&amp;A630)&gt;0,_xlfn.MAXIFS(Weight!$A$2:$A$1000,Weight!$A$2:$A$1000,"&lt;="&amp;A630),_xlfn.MINIFS(Weight!$A$2:$A$1000,Weight!$A$2:$A$1000,"&gt;0")),Weight!$A$2:$A$1000,0)),Settings!$B$6))</f>
        <v/>
      </c>
      <c r="I630" s="21">
        <f>IF(B630="","",IFERROR(INDEX(Settings!$B$10:$B$21,MATCH(B630,Settings!$A$10:$A$21,0)),4))</f>
        <v/>
      </c>
      <c r="J630" s="22">
        <f>IF(OR(A630="",C630="",I630=""),"",I630*H630*C630/60)</f>
        <v/>
      </c>
    </row>
    <row r="631">
      <c r="A631" s="35" t="n"/>
      <c r="B631" s="33" t="n"/>
      <c r="C631" s="31" t="n"/>
      <c r="D631" s="30" t="n"/>
      <c r="E631" s="33" t="n"/>
      <c r="F631" s="20">
        <f>IF(A631="","",WEEKNUM(A631,21))</f>
        <v/>
      </c>
      <c r="G631" s="21">
        <f>IF(OR(C631="",N(D631)=0),"",C631/D631)</f>
        <v/>
      </c>
      <c r="H631" s="21">
        <f>IF(A631="","",IFERROR(INDEX(Weight!$B$2:$B$1000,MATCH(IF(_xlfn.MAXIFS(Weight!$A$2:$A$1000,Weight!$A$2:$A$1000,"&lt;="&amp;A631)&gt;0,_xlfn.MAXIFS(Weight!$A$2:$A$1000,Weight!$A$2:$A$1000,"&lt;="&amp;A631),_xlfn.MINIFS(Weight!$A$2:$A$1000,Weight!$A$2:$A$1000,"&gt;0")),Weight!$A$2:$A$1000,0)),Settings!$B$6))</f>
        <v/>
      </c>
      <c r="I631" s="21">
        <f>IF(B631="","",IFERROR(INDEX(Settings!$B$10:$B$21,MATCH(B631,Settings!$A$10:$A$21,0)),4))</f>
        <v/>
      </c>
      <c r="J631" s="22">
        <f>IF(OR(A631="",C631="",I631=""),"",I631*H631*C631/60)</f>
        <v/>
      </c>
    </row>
    <row r="632">
      <c r="A632" s="35" t="n"/>
      <c r="B632" s="33" t="n"/>
      <c r="C632" s="31" t="n"/>
      <c r="D632" s="30" t="n"/>
      <c r="E632" s="33" t="n"/>
      <c r="F632" s="20">
        <f>IF(A632="","",WEEKNUM(A632,21))</f>
        <v/>
      </c>
      <c r="G632" s="21">
        <f>IF(OR(C632="",N(D632)=0),"",C632/D632)</f>
        <v/>
      </c>
      <c r="H632" s="21">
        <f>IF(A632="","",IFERROR(INDEX(Weight!$B$2:$B$1000,MATCH(IF(_xlfn.MAXIFS(Weight!$A$2:$A$1000,Weight!$A$2:$A$1000,"&lt;="&amp;A632)&gt;0,_xlfn.MAXIFS(Weight!$A$2:$A$1000,Weight!$A$2:$A$1000,"&lt;="&amp;A632),_xlfn.MINIFS(Weight!$A$2:$A$1000,Weight!$A$2:$A$1000,"&gt;0")),Weight!$A$2:$A$1000,0)),Settings!$B$6))</f>
        <v/>
      </c>
      <c r="I632" s="21">
        <f>IF(B632="","",IFERROR(INDEX(Settings!$B$10:$B$21,MATCH(B632,Settings!$A$10:$A$21,0)),4))</f>
        <v/>
      </c>
      <c r="J632" s="22">
        <f>IF(OR(A632="",C632="",I632=""),"",I632*H632*C632/60)</f>
        <v/>
      </c>
    </row>
    <row r="633">
      <c r="A633" s="35" t="n"/>
      <c r="B633" s="33" t="n"/>
      <c r="C633" s="31" t="n"/>
      <c r="D633" s="30" t="n"/>
      <c r="E633" s="33" t="n"/>
      <c r="F633" s="20">
        <f>IF(A633="","",WEEKNUM(A633,21))</f>
        <v/>
      </c>
      <c r="G633" s="21">
        <f>IF(OR(C633="",N(D633)=0),"",C633/D633)</f>
        <v/>
      </c>
      <c r="H633" s="21">
        <f>IF(A633="","",IFERROR(INDEX(Weight!$B$2:$B$1000,MATCH(IF(_xlfn.MAXIFS(Weight!$A$2:$A$1000,Weight!$A$2:$A$1000,"&lt;="&amp;A633)&gt;0,_xlfn.MAXIFS(Weight!$A$2:$A$1000,Weight!$A$2:$A$1000,"&lt;="&amp;A633),_xlfn.MINIFS(Weight!$A$2:$A$1000,Weight!$A$2:$A$1000,"&gt;0")),Weight!$A$2:$A$1000,0)),Settings!$B$6))</f>
        <v/>
      </c>
      <c r="I633" s="21">
        <f>IF(B633="","",IFERROR(INDEX(Settings!$B$10:$B$21,MATCH(B633,Settings!$A$10:$A$21,0)),4))</f>
        <v/>
      </c>
      <c r="J633" s="22">
        <f>IF(OR(A633="",C633="",I633=""),"",I633*H633*C633/60)</f>
        <v/>
      </c>
    </row>
    <row r="634">
      <c r="A634" s="35" t="n"/>
      <c r="B634" s="33" t="n"/>
      <c r="C634" s="31" t="n"/>
      <c r="D634" s="30" t="n"/>
      <c r="E634" s="33" t="n"/>
      <c r="F634" s="20">
        <f>IF(A634="","",WEEKNUM(A634,21))</f>
        <v/>
      </c>
      <c r="G634" s="21">
        <f>IF(OR(C634="",N(D634)=0),"",C634/D634)</f>
        <v/>
      </c>
      <c r="H634" s="21">
        <f>IF(A634="","",IFERROR(INDEX(Weight!$B$2:$B$1000,MATCH(IF(_xlfn.MAXIFS(Weight!$A$2:$A$1000,Weight!$A$2:$A$1000,"&lt;="&amp;A634)&gt;0,_xlfn.MAXIFS(Weight!$A$2:$A$1000,Weight!$A$2:$A$1000,"&lt;="&amp;A634),_xlfn.MINIFS(Weight!$A$2:$A$1000,Weight!$A$2:$A$1000,"&gt;0")),Weight!$A$2:$A$1000,0)),Settings!$B$6))</f>
        <v/>
      </c>
      <c r="I634" s="21">
        <f>IF(B634="","",IFERROR(INDEX(Settings!$B$10:$B$21,MATCH(B634,Settings!$A$10:$A$21,0)),4))</f>
        <v/>
      </c>
      <c r="J634" s="22">
        <f>IF(OR(A634="",C634="",I634=""),"",I634*H634*C634/60)</f>
        <v/>
      </c>
    </row>
    <row r="635">
      <c r="A635" s="35" t="n"/>
      <c r="B635" s="33" t="n"/>
      <c r="C635" s="31" t="n"/>
      <c r="D635" s="30" t="n"/>
      <c r="E635" s="33" t="n"/>
      <c r="F635" s="20">
        <f>IF(A635="","",WEEKNUM(A635,21))</f>
        <v/>
      </c>
      <c r="G635" s="21">
        <f>IF(OR(C635="",N(D635)=0),"",C635/D635)</f>
        <v/>
      </c>
      <c r="H635" s="21">
        <f>IF(A635="","",IFERROR(INDEX(Weight!$B$2:$B$1000,MATCH(IF(_xlfn.MAXIFS(Weight!$A$2:$A$1000,Weight!$A$2:$A$1000,"&lt;="&amp;A635)&gt;0,_xlfn.MAXIFS(Weight!$A$2:$A$1000,Weight!$A$2:$A$1000,"&lt;="&amp;A635),_xlfn.MINIFS(Weight!$A$2:$A$1000,Weight!$A$2:$A$1000,"&gt;0")),Weight!$A$2:$A$1000,0)),Settings!$B$6))</f>
        <v/>
      </c>
      <c r="I635" s="21">
        <f>IF(B635="","",IFERROR(INDEX(Settings!$B$10:$B$21,MATCH(B635,Settings!$A$10:$A$21,0)),4))</f>
        <v/>
      </c>
      <c r="J635" s="22">
        <f>IF(OR(A635="",C635="",I635=""),"",I635*H635*C635/60)</f>
        <v/>
      </c>
    </row>
    <row r="636">
      <c r="A636" s="35" t="n"/>
      <c r="B636" s="33" t="n"/>
      <c r="C636" s="31" t="n"/>
      <c r="D636" s="30" t="n"/>
      <c r="E636" s="33" t="n"/>
      <c r="F636" s="20">
        <f>IF(A636="","",WEEKNUM(A636,21))</f>
        <v/>
      </c>
      <c r="G636" s="21">
        <f>IF(OR(C636="",N(D636)=0),"",C636/D636)</f>
        <v/>
      </c>
      <c r="H636" s="21">
        <f>IF(A636="","",IFERROR(INDEX(Weight!$B$2:$B$1000,MATCH(IF(_xlfn.MAXIFS(Weight!$A$2:$A$1000,Weight!$A$2:$A$1000,"&lt;="&amp;A636)&gt;0,_xlfn.MAXIFS(Weight!$A$2:$A$1000,Weight!$A$2:$A$1000,"&lt;="&amp;A636),_xlfn.MINIFS(Weight!$A$2:$A$1000,Weight!$A$2:$A$1000,"&gt;0")),Weight!$A$2:$A$1000,0)),Settings!$B$6))</f>
        <v/>
      </c>
      <c r="I636" s="21">
        <f>IF(B636="","",IFERROR(INDEX(Settings!$B$10:$B$21,MATCH(B636,Settings!$A$10:$A$21,0)),4))</f>
        <v/>
      </c>
      <c r="J636" s="22">
        <f>IF(OR(A636="",C636="",I636=""),"",I636*H636*C636/60)</f>
        <v/>
      </c>
    </row>
    <row r="637">
      <c r="A637" s="35" t="n"/>
      <c r="B637" s="33" t="n"/>
      <c r="C637" s="31" t="n"/>
      <c r="D637" s="30" t="n"/>
      <c r="E637" s="33" t="n"/>
      <c r="F637" s="20">
        <f>IF(A637="","",WEEKNUM(A637,21))</f>
        <v/>
      </c>
      <c r="G637" s="21">
        <f>IF(OR(C637="",N(D637)=0),"",C637/D637)</f>
        <v/>
      </c>
      <c r="H637" s="21">
        <f>IF(A637="","",IFERROR(INDEX(Weight!$B$2:$B$1000,MATCH(IF(_xlfn.MAXIFS(Weight!$A$2:$A$1000,Weight!$A$2:$A$1000,"&lt;="&amp;A637)&gt;0,_xlfn.MAXIFS(Weight!$A$2:$A$1000,Weight!$A$2:$A$1000,"&lt;="&amp;A637),_xlfn.MINIFS(Weight!$A$2:$A$1000,Weight!$A$2:$A$1000,"&gt;0")),Weight!$A$2:$A$1000,0)),Settings!$B$6))</f>
        <v/>
      </c>
      <c r="I637" s="21">
        <f>IF(B637="","",IFERROR(INDEX(Settings!$B$10:$B$21,MATCH(B637,Settings!$A$10:$A$21,0)),4))</f>
        <v/>
      </c>
      <c r="J637" s="22">
        <f>IF(OR(A637="",C637="",I637=""),"",I637*H637*C637/60)</f>
        <v/>
      </c>
    </row>
    <row r="638">
      <c r="A638" s="35" t="n"/>
      <c r="B638" s="33" t="n"/>
      <c r="C638" s="31" t="n"/>
      <c r="D638" s="30" t="n"/>
      <c r="E638" s="33" t="n"/>
      <c r="F638" s="20">
        <f>IF(A638="","",WEEKNUM(A638,21))</f>
        <v/>
      </c>
      <c r="G638" s="21">
        <f>IF(OR(C638="",N(D638)=0),"",C638/D638)</f>
        <v/>
      </c>
      <c r="H638" s="21">
        <f>IF(A638="","",IFERROR(INDEX(Weight!$B$2:$B$1000,MATCH(IF(_xlfn.MAXIFS(Weight!$A$2:$A$1000,Weight!$A$2:$A$1000,"&lt;="&amp;A638)&gt;0,_xlfn.MAXIFS(Weight!$A$2:$A$1000,Weight!$A$2:$A$1000,"&lt;="&amp;A638),_xlfn.MINIFS(Weight!$A$2:$A$1000,Weight!$A$2:$A$1000,"&gt;0")),Weight!$A$2:$A$1000,0)),Settings!$B$6))</f>
        <v/>
      </c>
      <c r="I638" s="21">
        <f>IF(B638="","",IFERROR(INDEX(Settings!$B$10:$B$21,MATCH(B638,Settings!$A$10:$A$21,0)),4))</f>
        <v/>
      </c>
      <c r="J638" s="22">
        <f>IF(OR(A638="",C638="",I638=""),"",I638*H638*C638/60)</f>
        <v/>
      </c>
    </row>
    <row r="639">
      <c r="A639" s="35" t="n"/>
      <c r="B639" s="33" t="n"/>
      <c r="C639" s="31" t="n"/>
      <c r="D639" s="30" t="n"/>
      <c r="E639" s="33" t="n"/>
      <c r="F639" s="20">
        <f>IF(A639="","",WEEKNUM(A639,21))</f>
        <v/>
      </c>
      <c r="G639" s="21">
        <f>IF(OR(C639="",N(D639)=0),"",C639/D639)</f>
        <v/>
      </c>
      <c r="H639" s="21">
        <f>IF(A639="","",IFERROR(INDEX(Weight!$B$2:$B$1000,MATCH(IF(_xlfn.MAXIFS(Weight!$A$2:$A$1000,Weight!$A$2:$A$1000,"&lt;="&amp;A639)&gt;0,_xlfn.MAXIFS(Weight!$A$2:$A$1000,Weight!$A$2:$A$1000,"&lt;="&amp;A639),_xlfn.MINIFS(Weight!$A$2:$A$1000,Weight!$A$2:$A$1000,"&gt;0")),Weight!$A$2:$A$1000,0)),Settings!$B$6))</f>
        <v/>
      </c>
      <c r="I639" s="21">
        <f>IF(B639="","",IFERROR(INDEX(Settings!$B$10:$B$21,MATCH(B639,Settings!$A$10:$A$21,0)),4))</f>
        <v/>
      </c>
      <c r="J639" s="22">
        <f>IF(OR(A639="",C639="",I639=""),"",I639*H639*C639/60)</f>
        <v/>
      </c>
    </row>
    <row r="640">
      <c r="A640" s="35" t="n"/>
      <c r="B640" s="33" t="n"/>
      <c r="C640" s="31" t="n"/>
      <c r="D640" s="30" t="n"/>
      <c r="E640" s="33" t="n"/>
      <c r="F640" s="20">
        <f>IF(A640="","",WEEKNUM(A640,21))</f>
        <v/>
      </c>
      <c r="G640" s="21">
        <f>IF(OR(C640="",N(D640)=0),"",C640/D640)</f>
        <v/>
      </c>
      <c r="H640" s="21">
        <f>IF(A640="","",IFERROR(INDEX(Weight!$B$2:$B$1000,MATCH(IF(_xlfn.MAXIFS(Weight!$A$2:$A$1000,Weight!$A$2:$A$1000,"&lt;="&amp;A640)&gt;0,_xlfn.MAXIFS(Weight!$A$2:$A$1000,Weight!$A$2:$A$1000,"&lt;="&amp;A640),_xlfn.MINIFS(Weight!$A$2:$A$1000,Weight!$A$2:$A$1000,"&gt;0")),Weight!$A$2:$A$1000,0)),Settings!$B$6))</f>
        <v/>
      </c>
      <c r="I640" s="21">
        <f>IF(B640="","",IFERROR(INDEX(Settings!$B$10:$B$21,MATCH(B640,Settings!$A$10:$A$21,0)),4))</f>
        <v/>
      </c>
      <c r="J640" s="22">
        <f>IF(OR(A640="",C640="",I640=""),"",I640*H640*C640/60)</f>
        <v/>
      </c>
    </row>
    <row r="641">
      <c r="A641" s="35" t="n"/>
      <c r="B641" s="33" t="n"/>
      <c r="C641" s="31" t="n"/>
      <c r="D641" s="30" t="n"/>
      <c r="E641" s="33" t="n"/>
      <c r="F641" s="20">
        <f>IF(A641="","",WEEKNUM(A641,21))</f>
        <v/>
      </c>
      <c r="G641" s="21">
        <f>IF(OR(C641="",N(D641)=0),"",C641/D641)</f>
        <v/>
      </c>
      <c r="H641" s="21">
        <f>IF(A641="","",IFERROR(INDEX(Weight!$B$2:$B$1000,MATCH(IF(_xlfn.MAXIFS(Weight!$A$2:$A$1000,Weight!$A$2:$A$1000,"&lt;="&amp;A641)&gt;0,_xlfn.MAXIFS(Weight!$A$2:$A$1000,Weight!$A$2:$A$1000,"&lt;="&amp;A641),_xlfn.MINIFS(Weight!$A$2:$A$1000,Weight!$A$2:$A$1000,"&gt;0")),Weight!$A$2:$A$1000,0)),Settings!$B$6))</f>
        <v/>
      </c>
      <c r="I641" s="21">
        <f>IF(B641="","",IFERROR(INDEX(Settings!$B$10:$B$21,MATCH(B641,Settings!$A$10:$A$21,0)),4))</f>
        <v/>
      </c>
      <c r="J641" s="22">
        <f>IF(OR(A641="",C641="",I641=""),"",I641*H641*C641/60)</f>
        <v/>
      </c>
    </row>
    <row r="642">
      <c r="A642" s="35" t="n"/>
      <c r="B642" s="33" t="n"/>
      <c r="C642" s="31" t="n"/>
      <c r="D642" s="30" t="n"/>
      <c r="E642" s="33" t="n"/>
      <c r="F642" s="20">
        <f>IF(A642="","",WEEKNUM(A642,21))</f>
        <v/>
      </c>
      <c r="G642" s="21">
        <f>IF(OR(C642="",N(D642)=0),"",C642/D642)</f>
        <v/>
      </c>
      <c r="H642" s="21">
        <f>IF(A642="","",IFERROR(INDEX(Weight!$B$2:$B$1000,MATCH(IF(_xlfn.MAXIFS(Weight!$A$2:$A$1000,Weight!$A$2:$A$1000,"&lt;="&amp;A642)&gt;0,_xlfn.MAXIFS(Weight!$A$2:$A$1000,Weight!$A$2:$A$1000,"&lt;="&amp;A642),_xlfn.MINIFS(Weight!$A$2:$A$1000,Weight!$A$2:$A$1000,"&gt;0")),Weight!$A$2:$A$1000,0)),Settings!$B$6))</f>
        <v/>
      </c>
      <c r="I642" s="21">
        <f>IF(B642="","",IFERROR(INDEX(Settings!$B$10:$B$21,MATCH(B642,Settings!$A$10:$A$21,0)),4))</f>
        <v/>
      </c>
      <c r="J642" s="22">
        <f>IF(OR(A642="",C642="",I642=""),"",I642*H642*C642/60)</f>
        <v/>
      </c>
    </row>
    <row r="643">
      <c r="A643" s="35" t="n"/>
      <c r="B643" s="33" t="n"/>
      <c r="C643" s="31" t="n"/>
      <c r="D643" s="30" t="n"/>
      <c r="E643" s="33" t="n"/>
      <c r="F643" s="20">
        <f>IF(A643="","",WEEKNUM(A643,21))</f>
        <v/>
      </c>
      <c r="G643" s="21">
        <f>IF(OR(C643="",N(D643)=0),"",C643/D643)</f>
        <v/>
      </c>
      <c r="H643" s="21">
        <f>IF(A643="","",IFERROR(INDEX(Weight!$B$2:$B$1000,MATCH(IF(_xlfn.MAXIFS(Weight!$A$2:$A$1000,Weight!$A$2:$A$1000,"&lt;="&amp;A643)&gt;0,_xlfn.MAXIFS(Weight!$A$2:$A$1000,Weight!$A$2:$A$1000,"&lt;="&amp;A643),_xlfn.MINIFS(Weight!$A$2:$A$1000,Weight!$A$2:$A$1000,"&gt;0")),Weight!$A$2:$A$1000,0)),Settings!$B$6))</f>
        <v/>
      </c>
      <c r="I643" s="21">
        <f>IF(B643="","",IFERROR(INDEX(Settings!$B$10:$B$21,MATCH(B643,Settings!$A$10:$A$21,0)),4))</f>
        <v/>
      </c>
      <c r="J643" s="22">
        <f>IF(OR(A643="",C643="",I643=""),"",I643*H643*C643/60)</f>
        <v/>
      </c>
    </row>
    <row r="644">
      <c r="A644" s="35" t="n"/>
      <c r="B644" s="33" t="n"/>
      <c r="C644" s="31" t="n"/>
      <c r="D644" s="30" t="n"/>
      <c r="E644" s="33" t="n"/>
      <c r="F644" s="20">
        <f>IF(A644="","",WEEKNUM(A644,21))</f>
        <v/>
      </c>
      <c r="G644" s="21">
        <f>IF(OR(C644="",N(D644)=0),"",C644/D644)</f>
        <v/>
      </c>
      <c r="H644" s="21">
        <f>IF(A644="","",IFERROR(INDEX(Weight!$B$2:$B$1000,MATCH(IF(_xlfn.MAXIFS(Weight!$A$2:$A$1000,Weight!$A$2:$A$1000,"&lt;="&amp;A644)&gt;0,_xlfn.MAXIFS(Weight!$A$2:$A$1000,Weight!$A$2:$A$1000,"&lt;="&amp;A644),_xlfn.MINIFS(Weight!$A$2:$A$1000,Weight!$A$2:$A$1000,"&gt;0")),Weight!$A$2:$A$1000,0)),Settings!$B$6))</f>
        <v/>
      </c>
      <c r="I644" s="21">
        <f>IF(B644="","",IFERROR(INDEX(Settings!$B$10:$B$21,MATCH(B644,Settings!$A$10:$A$21,0)),4))</f>
        <v/>
      </c>
      <c r="J644" s="22">
        <f>IF(OR(A644="",C644="",I644=""),"",I644*H644*C644/60)</f>
        <v/>
      </c>
    </row>
    <row r="645">
      <c r="A645" s="35" t="n"/>
      <c r="B645" s="33" t="n"/>
      <c r="C645" s="31" t="n"/>
      <c r="D645" s="30" t="n"/>
      <c r="E645" s="33" t="n"/>
      <c r="F645" s="20">
        <f>IF(A645="","",WEEKNUM(A645,21))</f>
        <v/>
      </c>
      <c r="G645" s="21">
        <f>IF(OR(C645="",N(D645)=0),"",C645/D645)</f>
        <v/>
      </c>
      <c r="H645" s="21">
        <f>IF(A645="","",IFERROR(INDEX(Weight!$B$2:$B$1000,MATCH(IF(_xlfn.MAXIFS(Weight!$A$2:$A$1000,Weight!$A$2:$A$1000,"&lt;="&amp;A645)&gt;0,_xlfn.MAXIFS(Weight!$A$2:$A$1000,Weight!$A$2:$A$1000,"&lt;="&amp;A645),_xlfn.MINIFS(Weight!$A$2:$A$1000,Weight!$A$2:$A$1000,"&gt;0")),Weight!$A$2:$A$1000,0)),Settings!$B$6))</f>
        <v/>
      </c>
      <c r="I645" s="21">
        <f>IF(B645="","",IFERROR(INDEX(Settings!$B$10:$B$21,MATCH(B645,Settings!$A$10:$A$21,0)),4))</f>
        <v/>
      </c>
      <c r="J645" s="22">
        <f>IF(OR(A645="",C645="",I645=""),"",I645*H645*C645/60)</f>
        <v/>
      </c>
    </row>
    <row r="646">
      <c r="A646" s="35" t="n"/>
      <c r="B646" s="33" t="n"/>
      <c r="C646" s="31" t="n"/>
      <c r="D646" s="30" t="n"/>
      <c r="E646" s="33" t="n"/>
      <c r="F646" s="20">
        <f>IF(A646="","",WEEKNUM(A646,21))</f>
        <v/>
      </c>
      <c r="G646" s="21">
        <f>IF(OR(C646="",N(D646)=0),"",C646/D646)</f>
        <v/>
      </c>
      <c r="H646" s="21">
        <f>IF(A646="","",IFERROR(INDEX(Weight!$B$2:$B$1000,MATCH(IF(_xlfn.MAXIFS(Weight!$A$2:$A$1000,Weight!$A$2:$A$1000,"&lt;="&amp;A646)&gt;0,_xlfn.MAXIFS(Weight!$A$2:$A$1000,Weight!$A$2:$A$1000,"&lt;="&amp;A646),_xlfn.MINIFS(Weight!$A$2:$A$1000,Weight!$A$2:$A$1000,"&gt;0")),Weight!$A$2:$A$1000,0)),Settings!$B$6))</f>
        <v/>
      </c>
      <c r="I646" s="21">
        <f>IF(B646="","",IFERROR(INDEX(Settings!$B$10:$B$21,MATCH(B646,Settings!$A$10:$A$21,0)),4))</f>
        <v/>
      </c>
      <c r="J646" s="22">
        <f>IF(OR(A646="",C646="",I646=""),"",I646*H646*C646/60)</f>
        <v/>
      </c>
    </row>
    <row r="647">
      <c r="A647" s="35" t="n"/>
      <c r="B647" s="33" t="n"/>
      <c r="C647" s="31" t="n"/>
      <c r="D647" s="30" t="n"/>
      <c r="E647" s="33" t="n"/>
      <c r="F647" s="20">
        <f>IF(A647="","",WEEKNUM(A647,21))</f>
        <v/>
      </c>
      <c r="G647" s="21">
        <f>IF(OR(C647="",N(D647)=0),"",C647/D647)</f>
        <v/>
      </c>
      <c r="H647" s="21">
        <f>IF(A647="","",IFERROR(INDEX(Weight!$B$2:$B$1000,MATCH(IF(_xlfn.MAXIFS(Weight!$A$2:$A$1000,Weight!$A$2:$A$1000,"&lt;="&amp;A647)&gt;0,_xlfn.MAXIFS(Weight!$A$2:$A$1000,Weight!$A$2:$A$1000,"&lt;="&amp;A647),_xlfn.MINIFS(Weight!$A$2:$A$1000,Weight!$A$2:$A$1000,"&gt;0")),Weight!$A$2:$A$1000,0)),Settings!$B$6))</f>
        <v/>
      </c>
      <c r="I647" s="21">
        <f>IF(B647="","",IFERROR(INDEX(Settings!$B$10:$B$21,MATCH(B647,Settings!$A$10:$A$21,0)),4))</f>
        <v/>
      </c>
      <c r="J647" s="22">
        <f>IF(OR(A647="",C647="",I647=""),"",I647*H647*C647/60)</f>
        <v/>
      </c>
    </row>
    <row r="648">
      <c r="A648" s="35" t="n"/>
      <c r="B648" s="33" t="n"/>
      <c r="C648" s="31" t="n"/>
      <c r="D648" s="30" t="n"/>
      <c r="E648" s="33" t="n"/>
      <c r="F648" s="20">
        <f>IF(A648="","",WEEKNUM(A648,21))</f>
        <v/>
      </c>
      <c r="G648" s="21">
        <f>IF(OR(C648="",N(D648)=0),"",C648/D648)</f>
        <v/>
      </c>
      <c r="H648" s="21">
        <f>IF(A648="","",IFERROR(INDEX(Weight!$B$2:$B$1000,MATCH(IF(_xlfn.MAXIFS(Weight!$A$2:$A$1000,Weight!$A$2:$A$1000,"&lt;="&amp;A648)&gt;0,_xlfn.MAXIFS(Weight!$A$2:$A$1000,Weight!$A$2:$A$1000,"&lt;="&amp;A648),_xlfn.MINIFS(Weight!$A$2:$A$1000,Weight!$A$2:$A$1000,"&gt;0")),Weight!$A$2:$A$1000,0)),Settings!$B$6))</f>
        <v/>
      </c>
      <c r="I648" s="21">
        <f>IF(B648="","",IFERROR(INDEX(Settings!$B$10:$B$21,MATCH(B648,Settings!$A$10:$A$21,0)),4))</f>
        <v/>
      </c>
      <c r="J648" s="22">
        <f>IF(OR(A648="",C648="",I648=""),"",I648*H648*C648/60)</f>
        <v/>
      </c>
    </row>
    <row r="649">
      <c r="A649" s="35" t="n"/>
      <c r="B649" s="33" t="n"/>
      <c r="C649" s="31" t="n"/>
      <c r="D649" s="30" t="n"/>
      <c r="E649" s="33" t="n"/>
      <c r="F649" s="20">
        <f>IF(A649="","",WEEKNUM(A649,21))</f>
        <v/>
      </c>
      <c r="G649" s="21">
        <f>IF(OR(C649="",N(D649)=0),"",C649/D649)</f>
        <v/>
      </c>
      <c r="H649" s="21">
        <f>IF(A649="","",IFERROR(INDEX(Weight!$B$2:$B$1000,MATCH(IF(_xlfn.MAXIFS(Weight!$A$2:$A$1000,Weight!$A$2:$A$1000,"&lt;="&amp;A649)&gt;0,_xlfn.MAXIFS(Weight!$A$2:$A$1000,Weight!$A$2:$A$1000,"&lt;="&amp;A649),_xlfn.MINIFS(Weight!$A$2:$A$1000,Weight!$A$2:$A$1000,"&gt;0")),Weight!$A$2:$A$1000,0)),Settings!$B$6))</f>
        <v/>
      </c>
      <c r="I649" s="21">
        <f>IF(B649="","",IFERROR(INDEX(Settings!$B$10:$B$21,MATCH(B649,Settings!$A$10:$A$21,0)),4))</f>
        <v/>
      </c>
      <c r="J649" s="22">
        <f>IF(OR(A649="",C649="",I649=""),"",I649*H649*C649/60)</f>
        <v/>
      </c>
    </row>
    <row r="650">
      <c r="A650" s="35" t="n"/>
      <c r="B650" s="33" t="n"/>
      <c r="C650" s="31" t="n"/>
      <c r="D650" s="30" t="n"/>
      <c r="E650" s="33" t="n"/>
      <c r="F650" s="20">
        <f>IF(A650="","",WEEKNUM(A650,21))</f>
        <v/>
      </c>
      <c r="G650" s="21">
        <f>IF(OR(C650="",N(D650)=0),"",C650/D650)</f>
        <v/>
      </c>
      <c r="H650" s="21">
        <f>IF(A650="","",IFERROR(INDEX(Weight!$B$2:$B$1000,MATCH(IF(_xlfn.MAXIFS(Weight!$A$2:$A$1000,Weight!$A$2:$A$1000,"&lt;="&amp;A650)&gt;0,_xlfn.MAXIFS(Weight!$A$2:$A$1000,Weight!$A$2:$A$1000,"&lt;="&amp;A650),_xlfn.MINIFS(Weight!$A$2:$A$1000,Weight!$A$2:$A$1000,"&gt;0")),Weight!$A$2:$A$1000,0)),Settings!$B$6))</f>
        <v/>
      </c>
      <c r="I650" s="21">
        <f>IF(B650="","",IFERROR(INDEX(Settings!$B$10:$B$21,MATCH(B650,Settings!$A$10:$A$21,0)),4))</f>
        <v/>
      </c>
      <c r="J650" s="22">
        <f>IF(OR(A650="",C650="",I650=""),"",I650*H650*C650/60)</f>
        <v/>
      </c>
    </row>
    <row r="651">
      <c r="A651" s="35" t="n"/>
      <c r="B651" s="33" t="n"/>
      <c r="C651" s="31" t="n"/>
      <c r="D651" s="30" t="n"/>
      <c r="E651" s="33" t="n"/>
      <c r="F651" s="20">
        <f>IF(A651="","",WEEKNUM(A651,21))</f>
        <v/>
      </c>
      <c r="G651" s="21">
        <f>IF(OR(C651="",N(D651)=0),"",C651/D651)</f>
        <v/>
      </c>
      <c r="H651" s="21">
        <f>IF(A651="","",IFERROR(INDEX(Weight!$B$2:$B$1000,MATCH(IF(_xlfn.MAXIFS(Weight!$A$2:$A$1000,Weight!$A$2:$A$1000,"&lt;="&amp;A651)&gt;0,_xlfn.MAXIFS(Weight!$A$2:$A$1000,Weight!$A$2:$A$1000,"&lt;="&amp;A651),_xlfn.MINIFS(Weight!$A$2:$A$1000,Weight!$A$2:$A$1000,"&gt;0")),Weight!$A$2:$A$1000,0)),Settings!$B$6))</f>
        <v/>
      </c>
      <c r="I651" s="21">
        <f>IF(B651="","",IFERROR(INDEX(Settings!$B$10:$B$21,MATCH(B651,Settings!$A$10:$A$21,0)),4))</f>
        <v/>
      </c>
      <c r="J651" s="22">
        <f>IF(OR(A651="",C651="",I651=""),"",I651*H651*C651/60)</f>
        <v/>
      </c>
    </row>
    <row r="652">
      <c r="A652" s="35" t="n"/>
      <c r="B652" s="33" t="n"/>
      <c r="C652" s="31" t="n"/>
      <c r="D652" s="30" t="n"/>
      <c r="E652" s="33" t="n"/>
      <c r="F652" s="20">
        <f>IF(A652="","",WEEKNUM(A652,21))</f>
        <v/>
      </c>
      <c r="G652" s="21">
        <f>IF(OR(C652="",N(D652)=0),"",C652/D652)</f>
        <v/>
      </c>
      <c r="H652" s="21">
        <f>IF(A652="","",IFERROR(INDEX(Weight!$B$2:$B$1000,MATCH(IF(_xlfn.MAXIFS(Weight!$A$2:$A$1000,Weight!$A$2:$A$1000,"&lt;="&amp;A652)&gt;0,_xlfn.MAXIFS(Weight!$A$2:$A$1000,Weight!$A$2:$A$1000,"&lt;="&amp;A652),_xlfn.MINIFS(Weight!$A$2:$A$1000,Weight!$A$2:$A$1000,"&gt;0")),Weight!$A$2:$A$1000,0)),Settings!$B$6))</f>
        <v/>
      </c>
      <c r="I652" s="21">
        <f>IF(B652="","",IFERROR(INDEX(Settings!$B$10:$B$21,MATCH(B652,Settings!$A$10:$A$21,0)),4))</f>
        <v/>
      </c>
      <c r="J652" s="22">
        <f>IF(OR(A652="",C652="",I652=""),"",I652*H652*C652/60)</f>
        <v/>
      </c>
    </row>
    <row r="653">
      <c r="A653" s="35" t="n"/>
      <c r="B653" s="33" t="n"/>
      <c r="C653" s="31" t="n"/>
      <c r="D653" s="30" t="n"/>
      <c r="E653" s="33" t="n"/>
      <c r="F653" s="20">
        <f>IF(A653="","",WEEKNUM(A653,21))</f>
        <v/>
      </c>
      <c r="G653" s="21">
        <f>IF(OR(C653="",N(D653)=0),"",C653/D653)</f>
        <v/>
      </c>
      <c r="H653" s="21">
        <f>IF(A653="","",IFERROR(INDEX(Weight!$B$2:$B$1000,MATCH(IF(_xlfn.MAXIFS(Weight!$A$2:$A$1000,Weight!$A$2:$A$1000,"&lt;="&amp;A653)&gt;0,_xlfn.MAXIFS(Weight!$A$2:$A$1000,Weight!$A$2:$A$1000,"&lt;="&amp;A653),_xlfn.MINIFS(Weight!$A$2:$A$1000,Weight!$A$2:$A$1000,"&gt;0")),Weight!$A$2:$A$1000,0)),Settings!$B$6))</f>
        <v/>
      </c>
      <c r="I653" s="21">
        <f>IF(B653="","",IFERROR(INDEX(Settings!$B$10:$B$21,MATCH(B653,Settings!$A$10:$A$21,0)),4))</f>
        <v/>
      </c>
      <c r="J653" s="22">
        <f>IF(OR(A653="",C653="",I653=""),"",I653*H653*C653/60)</f>
        <v/>
      </c>
    </row>
    <row r="654">
      <c r="A654" s="35" t="n"/>
      <c r="B654" s="33" t="n"/>
      <c r="C654" s="31" t="n"/>
      <c r="D654" s="30" t="n"/>
      <c r="E654" s="33" t="n"/>
      <c r="F654" s="20">
        <f>IF(A654="","",WEEKNUM(A654,21))</f>
        <v/>
      </c>
      <c r="G654" s="21">
        <f>IF(OR(C654="",N(D654)=0),"",C654/D654)</f>
        <v/>
      </c>
      <c r="H654" s="21">
        <f>IF(A654="","",IFERROR(INDEX(Weight!$B$2:$B$1000,MATCH(IF(_xlfn.MAXIFS(Weight!$A$2:$A$1000,Weight!$A$2:$A$1000,"&lt;="&amp;A654)&gt;0,_xlfn.MAXIFS(Weight!$A$2:$A$1000,Weight!$A$2:$A$1000,"&lt;="&amp;A654),_xlfn.MINIFS(Weight!$A$2:$A$1000,Weight!$A$2:$A$1000,"&gt;0")),Weight!$A$2:$A$1000,0)),Settings!$B$6))</f>
        <v/>
      </c>
      <c r="I654" s="21">
        <f>IF(B654="","",IFERROR(INDEX(Settings!$B$10:$B$21,MATCH(B654,Settings!$A$10:$A$21,0)),4))</f>
        <v/>
      </c>
      <c r="J654" s="22">
        <f>IF(OR(A654="",C654="",I654=""),"",I654*H654*C654/60)</f>
        <v/>
      </c>
    </row>
    <row r="655">
      <c r="A655" s="35" t="n"/>
      <c r="B655" s="33" t="n"/>
      <c r="C655" s="31" t="n"/>
      <c r="D655" s="30" t="n"/>
      <c r="E655" s="33" t="n"/>
      <c r="F655" s="20">
        <f>IF(A655="","",WEEKNUM(A655,21))</f>
        <v/>
      </c>
      <c r="G655" s="21">
        <f>IF(OR(C655="",N(D655)=0),"",C655/D655)</f>
        <v/>
      </c>
      <c r="H655" s="21">
        <f>IF(A655="","",IFERROR(INDEX(Weight!$B$2:$B$1000,MATCH(IF(_xlfn.MAXIFS(Weight!$A$2:$A$1000,Weight!$A$2:$A$1000,"&lt;="&amp;A655)&gt;0,_xlfn.MAXIFS(Weight!$A$2:$A$1000,Weight!$A$2:$A$1000,"&lt;="&amp;A655),_xlfn.MINIFS(Weight!$A$2:$A$1000,Weight!$A$2:$A$1000,"&gt;0")),Weight!$A$2:$A$1000,0)),Settings!$B$6))</f>
        <v/>
      </c>
      <c r="I655" s="21">
        <f>IF(B655="","",IFERROR(INDEX(Settings!$B$10:$B$21,MATCH(B655,Settings!$A$10:$A$21,0)),4))</f>
        <v/>
      </c>
      <c r="J655" s="22">
        <f>IF(OR(A655="",C655="",I655=""),"",I655*H655*C655/60)</f>
        <v/>
      </c>
    </row>
    <row r="656">
      <c r="A656" s="35" t="n"/>
      <c r="B656" s="33" t="n"/>
      <c r="C656" s="31" t="n"/>
      <c r="D656" s="30" t="n"/>
      <c r="E656" s="33" t="n"/>
      <c r="F656" s="20">
        <f>IF(A656="","",WEEKNUM(A656,21))</f>
        <v/>
      </c>
      <c r="G656" s="21">
        <f>IF(OR(C656="",N(D656)=0),"",C656/D656)</f>
        <v/>
      </c>
      <c r="H656" s="21">
        <f>IF(A656="","",IFERROR(INDEX(Weight!$B$2:$B$1000,MATCH(IF(_xlfn.MAXIFS(Weight!$A$2:$A$1000,Weight!$A$2:$A$1000,"&lt;="&amp;A656)&gt;0,_xlfn.MAXIFS(Weight!$A$2:$A$1000,Weight!$A$2:$A$1000,"&lt;="&amp;A656),_xlfn.MINIFS(Weight!$A$2:$A$1000,Weight!$A$2:$A$1000,"&gt;0")),Weight!$A$2:$A$1000,0)),Settings!$B$6))</f>
        <v/>
      </c>
      <c r="I656" s="21">
        <f>IF(B656="","",IFERROR(INDEX(Settings!$B$10:$B$21,MATCH(B656,Settings!$A$10:$A$21,0)),4))</f>
        <v/>
      </c>
      <c r="J656" s="22">
        <f>IF(OR(A656="",C656="",I656=""),"",I656*H656*C656/60)</f>
        <v/>
      </c>
    </row>
    <row r="657">
      <c r="A657" s="35" t="n"/>
      <c r="B657" s="33" t="n"/>
      <c r="C657" s="31" t="n"/>
      <c r="D657" s="30" t="n"/>
      <c r="E657" s="33" t="n"/>
      <c r="F657" s="20">
        <f>IF(A657="","",WEEKNUM(A657,21))</f>
        <v/>
      </c>
      <c r="G657" s="21">
        <f>IF(OR(C657="",N(D657)=0),"",C657/D657)</f>
        <v/>
      </c>
      <c r="H657" s="21">
        <f>IF(A657="","",IFERROR(INDEX(Weight!$B$2:$B$1000,MATCH(IF(_xlfn.MAXIFS(Weight!$A$2:$A$1000,Weight!$A$2:$A$1000,"&lt;="&amp;A657)&gt;0,_xlfn.MAXIFS(Weight!$A$2:$A$1000,Weight!$A$2:$A$1000,"&lt;="&amp;A657),_xlfn.MINIFS(Weight!$A$2:$A$1000,Weight!$A$2:$A$1000,"&gt;0")),Weight!$A$2:$A$1000,0)),Settings!$B$6))</f>
        <v/>
      </c>
      <c r="I657" s="21">
        <f>IF(B657="","",IFERROR(INDEX(Settings!$B$10:$B$21,MATCH(B657,Settings!$A$10:$A$21,0)),4))</f>
        <v/>
      </c>
      <c r="J657" s="22">
        <f>IF(OR(A657="",C657="",I657=""),"",I657*H657*C657/60)</f>
        <v/>
      </c>
    </row>
    <row r="658">
      <c r="A658" s="35" t="n"/>
      <c r="B658" s="33" t="n"/>
      <c r="C658" s="31" t="n"/>
      <c r="D658" s="30" t="n"/>
      <c r="E658" s="33" t="n"/>
      <c r="F658" s="20">
        <f>IF(A658="","",WEEKNUM(A658,21))</f>
        <v/>
      </c>
      <c r="G658" s="21">
        <f>IF(OR(C658="",N(D658)=0),"",C658/D658)</f>
        <v/>
      </c>
      <c r="H658" s="21">
        <f>IF(A658="","",IFERROR(INDEX(Weight!$B$2:$B$1000,MATCH(IF(_xlfn.MAXIFS(Weight!$A$2:$A$1000,Weight!$A$2:$A$1000,"&lt;="&amp;A658)&gt;0,_xlfn.MAXIFS(Weight!$A$2:$A$1000,Weight!$A$2:$A$1000,"&lt;="&amp;A658),_xlfn.MINIFS(Weight!$A$2:$A$1000,Weight!$A$2:$A$1000,"&gt;0")),Weight!$A$2:$A$1000,0)),Settings!$B$6))</f>
        <v/>
      </c>
      <c r="I658" s="21">
        <f>IF(B658="","",IFERROR(INDEX(Settings!$B$10:$B$21,MATCH(B658,Settings!$A$10:$A$21,0)),4))</f>
        <v/>
      </c>
      <c r="J658" s="22">
        <f>IF(OR(A658="",C658="",I658=""),"",I658*H658*C658/60)</f>
        <v/>
      </c>
    </row>
    <row r="659">
      <c r="A659" s="35" t="n"/>
      <c r="B659" s="33" t="n"/>
      <c r="C659" s="31" t="n"/>
      <c r="D659" s="30" t="n"/>
      <c r="E659" s="33" t="n"/>
      <c r="F659" s="20">
        <f>IF(A659="","",WEEKNUM(A659,21))</f>
        <v/>
      </c>
      <c r="G659" s="21">
        <f>IF(OR(C659="",N(D659)=0),"",C659/D659)</f>
        <v/>
      </c>
      <c r="H659" s="21">
        <f>IF(A659="","",IFERROR(INDEX(Weight!$B$2:$B$1000,MATCH(IF(_xlfn.MAXIFS(Weight!$A$2:$A$1000,Weight!$A$2:$A$1000,"&lt;="&amp;A659)&gt;0,_xlfn.MAXIFS(Weight!$A$2:$A$1000,Weight!$A$2:$A$1000,"&lt;="&amp;A659),_xlfn.MINIFS(Weight!$A$2:$A$1000,Weight!$A$2:$A$1000,"&gt;0")),Weight!$A$2:$A$1000,0)),Settings!$B$6))</f>
        <v/>
      </c>
      <c r="I659" s="21">
        <f>IF(B659="","",IFERROR(INDEX(Settings!$B$10:$B$21,MATCH(B659,Settings!$A$10:$A$21,0)),4))</f>
        <v/>
      </c>
      <c r="J659" s="22">
        <f>IF(OR(A659="",C659="",I659=""),"",I659*H659*C659/60)</f>
        <v/>
      </c>
    </row>
    <row r="660">
      <c r="A660" s="35" t="n"/>
      <c r="B660" s="33" t="n"/>
      <c r="C660" s="31" t="n"/>
      <c r="D660" s="30" t="n"/>
      <c r="E660" s="33" t="n"/>
      <c r="F660" s="20">
        <f>IF(A660="","",WEEKNUM(A660,21))</f>
        <v/>
      </c>
      <c r="G660" s="21">
        <f>IF(OR(C660="",N(D660)=0),"",C660/D660)</f>
        <v/>
      </c>
      <c r="H660" s="21">
        <f>IF(A660="","",IFERROR(INDEX(Weight!$B$2:$B$1000,MATCH(IF(_xlfn.MAXIFS(Weight!$A$2:$A$1000,Weight!$A$2:$A$1000,"&lt;="&amp;A660)&gt;0,_xlfn.MAXIFS(Weight!$A$2:$A$1000,Weight!$A$2:$A$1000,"&lt;="&amp;A660),_xlfn.MINIFS(Weight!$A$2:$A$1000,Weight!$A$2:$A$1000,"&gt;0")),Weight!$A$2:$A$1000,0)),Settings!$B$6))</f>
        <v/>
      </c>
      <c r="I660" s="21">
        <f>IF(B660="","",IFERROR(INDEX(Settings!$B$10:$B$21,MATCH(B660,Settings!$A$10:$A$21,0)),4))</f>
        <v/>
      </c>
      <c r="J660" s="22">
        <f>IF(OR(A660="",C660="",I660=""),"",I660*H660*C660/60)</f>
        <v/>
      </c>
    </row>
    <row r="661">
      <c r="A661" s="35" t="n"/>
      <c r="B661" s="33" t="n"/>
      <c r="C661" s="31" t="n"/>
      <c r="D661" s="30" t="n"/>
      <c r="E661" s="33" t="n"/>
      <c r="F661" s="20">
        <f>IF(A661="","",WEEKNUM(A661,21))</f>
        <v/>
      </c>
      <c r="G661" s="21">
        <f>IF(OR(C661="",N(D661)=0),"",C661/D661)</f>
        <v/>
      </c>
      <c r="H661" s="21">
        <f>IF(A661="","",IFERROR(INDEX(Weight!$B$2:$B$1000,MATCH(IF(_xlfn.MAXIFS(Weight!$A$2:$A$1000,Weight!$A$2:$A$1000,"&lt;="&amp;A661)&gt;0,_xlfn.MAXIFS(Weight!$A$2:$A$1000,Weight!$A$2:$A$1000,"&lt;="&amp;A661),_xlfn.MINIFS(Weight!$A$2:$A$1000,Weight!$A$2:$A$1000,"&gt;0")),Weight!$A$2:$A$1000,0)),Settings!$B$6))</f>
        <v/>
      </c>
      <c r="I661" s="21">
        <f>IF(B661="","",IFERROR(INDEX(Settings!$B$10:$B$21,MATCH(B661,Settings!$A$10:$A$21,0)),4))</f>
        <v/>
      </c>
      <c r="J661" s="22">
        <f>IF(OR(A661="",C661="",I661=""),"",I661*H661*C661/60)</f>
        <v/>
      </c>
    </row>
    <row r="662">
      <c r="A662" s="35" t="n"/>
      <c r="B662" s="33" t="n"/>
      <c r="C662" s="31" t="n"/>
      <c r="D662" s="30" t="n"/>
      <c r="E662" s="33" t="n"/>
      <c r="F662" s="20">
        <f>IF(A662="","",WEEKNUM(A662,21))</f>
        <v/>
      </c>
      <c r="G662" s="21">
        <f>IF(OR(C662="",N(D662)=0),"",C662/D662)</f>
        <v/>
      </c>
      <c r="H662" s="21">
        <f>IF(A662="","",IFERROR(INDEX(Weight!$B$2:$B$1000,MATCH(IF(_xlfn.MAXIFS(Weight!$A$2:$A$1000,Weight!$A$2:$A$1000,"&lt;="&amp;A662)&gt;0,_xlfn.MAXIFS(Weight!$A$2:$A$1000,Weight!$A$2:$A$1000,"&lt;="&amp;A662),_xlfn.MINIFS(Weight!$A$2:$A$1000,Weight!$A$2:$A$1000,"&gt;0")),Weight!$A$2:$A$1000,0)),Settings!$B$6))</f>
        <v/>
      </c>
      <c r="I662" s="21">
        <f>IF(B662="","",IFERROR(INDEX(Settings!$B$10:$B$21,MATCH(B662,Settings!$A$10:$A$21,0)),4))</f>
        <v/>
      </c>
      <c r="J662" s="22">
        <f>IF(OR(A662="",C662="",I662=""),"",I662*H662*C662/60)</f>
        <v/>
      </c>
    </row>
    <row r="663">
      <c r="A663" s="35" t="n"/>
      <c r="B663" s="33" t="n"/>
      <c r="C663" s="31" t="n"/>
      <c r="D663" s="30" t="n"/>
      <c r="E663" s="33" t="n"/>
      <c r="F663" s="20">
        <f>IF(A663="","",WEEKNUM(A663,21))</f>
        <v/>
      </c>
      <c r="G663" s="21">
        <f>IF(OR(C663="",N(D663)=0),"",C663/D663)</f>
        <v/>
      </c>
      <c r="H663" s="21">
        <f>IF(A663="","",IFERROR(INDEX(Weight!$B$2:$B$1000,MATCH(IF(_xlfn.MAXIFS(Weight!$A$2:$A$1000,Weight!$A$2:$A$1000,"&lt;="&amp;A663)&gt;0,_xlfn.MAXIFS(Weight!$A$2:$A$1000,Weight!$A$2:$A$1000,"&lt;="&amp;A663),_xlfn.MINIFS(Weight!$A$2:$A$1000,Weight!$A$2:$A$1000,"&gt;0")),Weight!$A$2:$A$1000,0)),Settings!$B$6))</f>
        <v/>
      </c>
      <c r="I663" s="21">
        <f>IF(B663="","",IFERROR(INDEX(Settings!$B$10:$B$21,MATCH(B663,Settings!$A$10:$A$21,0)),4))</f>
        <v/>
      </c>
      <c r="J663" s="22">
        <f>IF(OR(A663="",C663="",I663=""),"",I663*H663*C663/60)</f>
        <v/>
      </c>
    </row>
    <row r="664">
      <c r="A664" s="35" t="n"/>
      <c r="B664" s="33" t="n"/>
      <c r="C664" s="31" t="n"/>
      <c r="D664" s="30" t="n"/>
      <c r="E664" s="33" t="n"/>
      <c r="F664" s="20">
        <f>IF(A664="","",WEEKNUM(A664,21))</f>
        <v/>
      </c>
      <c r="G664" s="21">
        <f>IF(OR(C664="",N(D664)=0),"",C664/D664)</f>
        <v/>
      </c>
      <c r="H664" s="21">
        <f>IF(A664="","",IFERROR(INDEX(Weight!$B$2:$B$1000,MATCH(IF(_xlfn.MAXIFS(Weight!$A$2:$A$1000,Weight!$A$2:$A$1000,"&lt;="&amp;A664)&gt;0,_xlfn.MAXIFS(Weight!$A$2:$A$1000,Weight!$A$2:$A$1000,"&lt;="&amp;A664),_xlfn.MINIFS(Weight!$A$2:$A$1000,Weight!$A$2:$A$1000,"&gt;0")),Weight!$A$2:$A$1000,0)),Settings!$B$6))</f>
        <v/>
      </c>
      <c r="I664" s="21">
        <f>IF(B664="","",IFERROR(INDEX(Settings!$B$10:$B$21,MATCH(B664,Settings!$A$10:$A$21,0)),4))</f>
        <v/>
      </c>
      <c r="J664" s="22">
        <f>IF(OR(A664="",C664="",I664=""),"",I664*H664*C664/60)</f>
        <v/>
      </c>
    </row>
    <row r="665">
      <c r="A665" s="35" t="n"/>
      <c r="B665" s="33" t="n"/>
      <c r="C665" s="31" t="n"/>
      <c r="D665" s="30" t="n"/>
      <c r="E665" s="33" t="n"/>
      <c r="F665" s="20">
        <f>IF(A665="","",WEEKNUM(A665,21))</f>
        <v/>
      </c>
      <c r="G665" s="21">
        <f>IF(OR(C665="",N(D665)=0),"",C665/D665)</f>
        <v/>
      </c>
      <c r="H665" s="21">
        <f>IF(A665="","",IFERROR(INDEX(Weight!$B$2:$B$1000,MATCH(IF(_xlfn.MAXIFS(Weight!$A$2:$A$1000,Weight!$A$2:$A$1000,"&lt;="&amp;A665)&gt;0,_xlfn.MAXIFS(Weight!$A$2:$A$1000,Weight!$A$2:$A$1000,"&lt;="&amp;A665),_xlfn.MINIFS(Weight!$A$2:$A$1000,Weight!$A$2:$A$1000,"&gt;0")),Weight!$A$2:$A$1000,0)),Settings!$B$6))</f>
        <v/>
      </c>
      <c r="I665" s="21">
        <f>IF(B665="","",IFERROR(INDEX(Settings!$B$10:$B$21,MATCH(B665,Settings!$A$10:$A$21,0)),4))</f>
        <v/>
      </c>
      <c r="J665" s="22">
        <f>IF(OR(A665="",C665="",I665=""),"",I665*H665*C665/60)</f>
        <v/>
      </c>
    </row>
    <row r="666">
      <c r="A666" s="35" t="n"/>
      <c r="B666" s="33" t="n"/>
      <c r="C666" s="31" t="n"/>
      <c r="D666" s="30" t="n"/>
      <c r="E666" s="33" t="n"/>
      <c r="F666" s="20">
        <f>IF(A666="","",WEEKNUM(A666,21))</f>
        <v/>
      </c>
      <c r="G666" s="21">
        <f>IF(OR(C666="",N(D666)=0),"",C666/D666)</f>
        <v/>
      </c>
      <c r="H666" s="21">
        <f>IF(A666="","",IFERROR(INDEX(Weight!$B$2:$B$1000,MATCH(IF(_xlfn.MAXIFS(Weight!$A$2:$A$1000,Weight!$A$2:$A$1000,"&lt;="&amp;A666)&gt;0,_xlfn.MAXIFS(Weight!$A$2:$A$1000,Weight!$A$2:$A$1000,"&lt;="&amp;A666),_xlfn.MINIFS(Weight!$A$2:$A$1000,Weight!$A$2:$A$1000,"&gt;0")),Weight!$A$2:$A$1000,0)),Settings!$B$6))</f>
        <v/>
      </c>
      <c r="I666" s="21">
        <f>IF(B666="","",IFERROR(INDEX(Settings!$B$10:$B$21,MATCH(B666,Settings!$A$10:$A$21,0)),4))</f>
        <v/>
      </c>
      <c r="J666" s="22">
        <f>IF(OR(A666="",C666="",I666=""),"",I666*H666*C666/60)</f>
        <v/>
      </c>
    </row>
    <row r="667">
      <c r="A667" s="35" t="n"/>
      <c r="B667" s="33" t="n"/>
      <c r="C667" s="31" t="n"/>
      <c r="D667" s="30" t="n"/>
      <c r="E667" s="33" t="n"/>
      <c r="F667" s="20">
        <f>IF(A667="","",WEEKNUM(A667,21))</f>
        <v/>
      </c>
      <c r="G667" s="21">
        <f>IF(OR(C667="",N(D667)=0),"",C667/D667)</f>
        <v/>
      </c>
      <c r="H667" s="21">
        <f>IF(A667="","",IFERROR(INDEX(Weight!$B$2:$B$1000,MATCH(IF(_xlfn.MAXIFS(Weight!$A$2:$A$1000,Weight!$A$2:$A$1000,"&lt;="&amp;A667)&gt;0,_xlfn.MAXIFS(Weight!$A$2:$A$1000,Weight!$A$2:$A$1000,"&lt;="&amp;A667),_xlfn.MINIFS(Weight!$A$2:$A$1000,Weight!$A$2:$A$1000,"&gt;0")),Weight!$A$2:$A$1000,0)),Settings!$B$6))</f>
        <v/>
      </c>
      <c r="I667" s="21">
        <f>IF(B667="","",IFERROR(INDEX(Settings!$B$10:$B$21,MATCH(B667,Settings!$A$10:$A$21,0)),4))</f>
        <v/>
      </c>
      <c r="J667" s="22">
        <f>IF(OR(A667="",C667="",I667=""),"",I667*H667*C667/60)</f>
        <v/>
      </c>
    </row>
    <row r="668">
      <c r="A668" s="35" t="n"/>
      <c r="B668" s="33" t="n"/>
      <c r="C668" s="31" t="n"/>
      <c r="D668" s="30" t="n"/>
      <c r="E668" s="33" t="n"/>
      <c r="F668" s="20">
        <f>IF(A668="","",WEEKNUM(A668,21))</f>
        <v/>
      </c>
      <c r="G668" s="21">
        <f>IF(OR(C668="",N(D668)=0),"",C668/D668)</f>
        <v/>
      </c>
      <c r="H668" s="21">
        <f>IF(A668="","",IFERROR(INDEX(Weight!$B$2:$B$1000,MATCH(IF(_xlfn.MAXIFS(Weight!$A$2:$A$1000,Weight!$A$2:$A$1000,"&lt;="&amp;A668)&gt;0,_xlfn.MAXIFS(Weight!$A$2:$A$1000,Weight!$A$2:$A$1000,"&lt;="&amp;A668),_xlfn.MINIFS(Weight!$A$2:$A$1000,Weight!$A$2:$A$1000,"&gt;0")),Weight!$A$2:$A$1000,0)),Settings!$B$6))</f>
        <v/>
      </c>
      <c r="I668" s="21">
        <f>IF(B668="","",IFERROR(INDEX(Settings!$B$10:$B$21,MATCH(B668,Settings!$A$10:$A$21,0)),4))</f>
        <v/>
      </c>
      <c r="J668" s="22">
        <f>IF(OR(A668="",C668="",I668=""),"",I668*H668*C668/60)</f>
        <v/>
      </c>
    </row>
    <row r="669">
      <c r="A669" s="35" t="n"/>
      <c r="B669" s="33" t="n"/>
      <c r="C669" s="31" t="n"/>
      <c r="D669" s="30" t="n"/>
      <c r="E669" s="33" t="n"/>
      <c r="F669" s="20">
        <f>IF(A669="","",WEEKNUM(A669,21))</f>
        <v/>
      </c>
      <c r="G669" s="21">
        <f>IF(OR(C669="",N(D669)=0),"",C669/D669)</f>
        <v/>
      </c>
      <c r="H669" s="21">
        <f>IF(A669="","",IFERROR(INDEX(Weight!$B$2:$B$1000,MATCH(IF(_xlfn.MAXIFS(Weight!$A$2:$A$1000,Weight!$A$2:$A$1000,"&lt;="&amp;A669)&gt;0,_xlfn.MAXIFS(Weight!$A$2:$A$1000,Weight!$A$2:$A$1000,"&lt;="&amp;A669),_xlfn.MINIFS(Weight!$A$2:$A$1000,Weight!$A$2:$A$1000,"&gt;0")),Weight!$A$2:$A$1000,0)),Settings!$B$6))</f>
        <v/>
      </c>
      <c r="I669" s="21">
        <f>IF(B669="","",IFERROR(INDEX(Settings!$B$10:$B$21,MATCH(B669,Settings!$A$10:$A$21,0)),4))</f>
        <v/>
      </c>
      <c r="J669" s="22">
        <f>IF(OR(A669="",C669="",I669=""),"",I669*H669*C669/60)</f>
        <v/>
      </c>
    </row>
    <row r="670">
      <c r="A670" s="35" t="n"/>
      <c r="B670" s="33" t="n"/>
      <c r="C670" s="31" t="n"/>
      <c r="D670" s="30" t="n"/>
      <c r="E670" s="33" t="n"/>
      <c r="F670" s="20">
        <f>IF(A670="","",WEEKNUM(A670,21))</f>
        <v/>
      </c>
      <c r="G670" s="21">
        <f>IF(OR(C670="",N(D670)=0),"",C670/D670)</f>
        <v/>
      </c>
      <c r="H670" s="21">
        <f>IF(A670="","",IFERROR(INDEX(Weight!$B$2:$B$1000,MATCH(IF(_xlfn.MAXIFS(Weight!$A$2:$A$1000,Weight!$A$2:$A$1000,"&lt;="&amp;A670)&gt;0,_xlfn.MAXIFS(Weight!$A$2:$A$1000,Weight!$A$2:$A$1000,"&lt;="&amp;A670),_xlfn.MINIFS(Weight!$A$2:$A$1000,Weight!$A$2:$A$1000,"&gt;0")),Weight!$A$2:$A$1000,0)),Settings!$B$6))</f>
        <v/>
      </c>
      <c r="I670" s="21">
        <f>IF(B670="","",IFERROR(INDEX(Settings!$B$10:$B$21,MATCH(B670,Settings!$A$10:$A$21,0)),4))</f>
        <v/>
      </c>
      <c r="J670" s="22">
        <f>IF(OR(A670="",C670="",I670=""),"",I670*H670*C670/60)</f>
        <v/>
      </c>
    </row>
    <row r="671">
      <c r="A671" s="35" t="n"/>
      <c r="B671" s="33" t="n"/>
      <c r="C671" s="31" t="n"/>
      <c r="D671" s="30" t="n"/>
      <c r="E671" s="33" t="n"/>
      <c r="F671" s="20">
        <f>IF(A671="","",WEEKNUM(A671,21))</f>
        <v/>
      </c>
      <c r="G671" s="21">
        <f>IF(OR(C671="",N(D671)=0),"",C671/D671)</f>
        <v/>
      </c>
      <c r="H671" s="21">
        <f>IF(A671="","",IFERROR(INDEX(Weight!$B$2:$B$1000,MATCH(IF(_xlfn.MAXIFS(Weight!$A$2:$A$1000,Weight!$A$2:$A$1000,"&lt;="&amp;A671)&gt;0,_xlfn.MAXIFS(Weight!$A$2:$A$1000,Weight!$A$2:$A$1000,"&lt;="&amp;A671),_xlfn.MINIFS(Weight!$A$2:$A$1000,Weight!$A$2:$A$1000,"&gt;0")),Weight!$A$2:$A$1000,0)),Settings!$B$6))</f>
        <v/>
      </c>
      <c r="I671" s="21">
        <f>IF(B671="","",IFERROR(INDEX(Settings!$B$10:$B$21,MATCH(B671,Settings!$A$10:$A$21,0)),4))</f>
        <v/>
      </c>
      <c r="J671" s="22">
        <f>IF(OR(A671="",C671="",I671=""),"",I671*H671*C671/60)</f>
        <v/>
      </c>
    </row>
    <row r="672">
      <c r="A672" s="35" t="n"/>
      <c r="B672" s="33" t="n"/>
      <c r="C672" s="31" t="n"/>
      <c r="D672" s="30" t="n"/>
      <c r="E672" s="33" t="n"/>
      <c r="F672" s="20">
        <f>IF(A672="","",WEEKNUM(A672,21))</f>
        <v/>
      </c>
      <c r="G672" s="21">
        <f>IF(OR(C672="",N(D672)=0),"",C672/D672)</f>
        <v/>
      </c>
      <c r="H672" s="21">
        <f>IF(A672="","",IFERROR(INDEX(Weight!$B$2:$B$1000,MATCH(IF(_xlfn.MAXIFS(Weight!$A$2:$A$1000,Weight!$A$2:$A$1000,"&lt;="&amp;A672)&gt;0,_xlfn.MAXIFS(Weight!$A$2:$A$1000,Weight!$A$2:$A$1000,"&lt;="&amp;A672),_xlfn.MINIFS(Weight!$A$2:$A$1000,Weight!$A$2:$A$1000,"&gt;0")),Weight!$A$2:$A$1000,0)),Settings!$B$6))</f>
        <v/>
      </c>
      <c r="I672" s="21">
        <f>IF(B672="","",IFERROR(INDEX(Settings!$B$10:$B$21,MATCH(B672,Settings!$A$10:$A$21,0)),4))</f>
        <v/>
      </c>
      <c r="J672" s="22">
        <f>IF(OR(A672="",C672="",I672=""),"",I672*H672*C672/60)</f>
        <v/>
      </c>
    </row>
    <row r="673">
      <c r="A673" s="35" t="n"/>
      <c r="B673" s="33" t="n"/>
      <c r="C673" s="31" t="n"/>
      <c r="D673" s="30" t="n"/>
      <c r="E673" s="33" t="n"/>
      <c r="F673" s="20">
        <f>IF(A673="","",WEEKNUM(A673,21))</f>
        <v/>
      </c>
      <c r="G673" s="21">
        <f>IF(OR(C673="",N(D673)=0),"",C673/D673)</f>
        <v/>
      </c>
      <c r="H673" s="21">
        <f>IF(A673="","",IFERROR(INDEX(Weight!$B$2:$B$1000,MATCH(IF(_xlfn.MAXIFS(Weight!$A$2:$A$1000,Weight!$A$2:$A$1000,"&lt;="&amp;A673)&gt;0,_xlfn.MAXIFS(Weight!$A$2:$A$1000,Weight!$A$2:$A$1000,"&lt;="&amp;A673),_xlfn.MINIFS(Weight!$A$2:$A$1000,Weight!$A$2:$A$1000,"&gt;0")),Weight!$A$2:$A$1000,0)),Settings!$B$6))</f>
        <v/>
      </c>
      <c r="I673" s="21">
        <f>IF(B673="","",IFERROR(INDEX(Settings!$B$10:$B$21,MATCH(B673,Settings!$A$10:$A$21,0)),4))</f>
        <v/>
      </c>
      <c r="J673" s="22">
        <f>IF(OR(A673="",C673="",I673=""),"",I673*H673*C673/60)</f>
        <v/>
      </c>
    </row>
    <row r="674">
      <c r="A674" s="35" t="n"/>
      <c r="B674" s="33" t="n"/>
      <c r="C674" s="31" t="n"/>
      <c r="D674" s="30" t="n"/>
      <c r="E674" s="33" t="n"/>
      <c r="F674" s="20">
        <f>IF(A674="","",WEEKNUM(A674,21))</f>
        <v/>
      </c>
      <c r="G674" s="21">
        <f>IF(OR(C674="",N(D674)=0),"",C674/D674)</f>
        <v/>
      </c>
      <c r="H674" s="21">
        <f>IF(A674="","",IFERROR(INDEX(Weight!$B$2:$B$1000,MATCH(IF(_xlfn.MAXIFS(Weight!$A$2:$A$1000,Weight!$A$2:$A$1000,"&lt;="&amp;A674)&gt;0,_xlfn.MAXIFS(Weight!$A$2:$A$1000,Weight!$A$2:$A$1000,"&lt;="&amp;A674),_xlfn.MINIFS(Weight!$A$2:$A$1000,Weight!$A$2:$A$1000,"&gt;0")),Weight!$A$2:$A$1000,0)),Settings!$B$6))</f>
        <v/>
      </c>
      <c r="I674" s="21">
        <f>IF(B674="","",IFERROR(INDEX(Settings!$B$10:$B$21,MATCH(B674,Settings!$A$10:$A$21,0)),4))</f>
        <v/>
      </c>
      <c r="J674" s="22">
        <f>IF(OR(A674="",C674="",I674=""),"",I674*H674*C674/60)</f>
        <v/>
      </c>
    </row>
    <row r="675">
      <c r="A675" s="35" t="n"/>
      <c r="B675" s="33" t="n"/>
      <c r="C675" s="31" t="n"/>
      <c r="D675" s="30" t="n"/>
      <c r="E675" s="33" t="n"/>
      <c r="F675" s="20">
        <f>IF(A675="","",WEEKNUM(A675,21))</f>
        <v/>
      </c>
      <c r="G675" s="21">
        <f>IF(OR(C675="",N(D675)=0),"",C675/D675)</f>
        <v/>
      </c>
      <c r="H675" s="21">
        <f>IF(A675="","",IFERROR(INDEX(Weight!$B$2:$B$1000,MATCH(IF(_xlfn.MAXIFS(Weight!$A$2:$A$1000,Weight!$A$2:$A$1000,"&lt;="&amp;A675)&gt;0,_xlfn.MAXIFS(Weight!$A$2:$A$1000,Weight!$A$2:$A$1000,"&lt;="&amp;A675),_xlfn.MINIFS(Weight!$A$2:$A$1000,Weight!$A$2:$A$1000,"&gt;0")),Weight!$A$2:$A$1000,0)),Settings!$B$6))</f>
        <v/>
      </c>
      <c r="I675" s="21">
        <f>IF(B675="","",IFERROR(INDEX(Settings!$B$10:$B$21,MATCH(B675,Settings!$A$10:$A$21,0)),4))</f>
        <v/>
      </c>
      <c r="J675" s="22">
        <f>IF(OR(A675="",C675="",I675=""),"",I675*H675*C675/60)</f>
        <v/>
      </c>
    </row>
    <row r="676">
      <c r="A676" s="35" t="n"/>
      <c r="B676" s="33" t="n"/>
      <c r="C676" s="31" t="n"/>
      <c r="D676" s="30" t="n"/>
      <c r="E676" s="33" t="n"/>
      <c r="F676" s="20">
        <f>IF(A676="","",WEEKNUM(A676,21))</f>
        <v/>
      </c>
      <c r="G676" s="21">
        <f>IF(OR(C676="",N(D676)=0),"",C676/D676)</f>
        <v/>
      </c>
      <c r="H676" s="21">
        <f>IF(A676="","",IFERROR(INDEX(Weight!$B$2:$B$1000,MATCH(IF(_xlfn.MAXIFS(Weight!$A$2:$A$1000,Weight!$A$2:$A$1000,"&lt;="&amp;A676)&gt;0,_xlfn.MAXIFS(Weight!$A$2:$A$1000,Weight!$A$2:$A$1000,"&lt;="&amp;A676),_xlfn.MINIFS(Weight!$A$2:$A$1000,Weight!$A$2:$A$1000,"&gt;0")),Weight!$A$2:$A$1000,0)),Settings!$B$6))</f>
        <v/>
      </c>
      <c r="I676" s="21">
        <f>IF(B676="","",IFERROR(INDEX(Settings!$B$10:$B$21,MATCH(B676,Settings!$A$10:$A$21,0)),4))</f>
        <v/>
      </c>
      <c r="J676" s="22">
        <f>IF(OR(A676="",C676="",I676=""),"",I676*H676*C676/60)</f>
        <v/>
      </c>
    </row>
    <row r="677">
      <c r="A677" s="35" t="n"/>
      <c r="B677" s="33" t="n"/>
      <c r="C677" s="31" t="n"/>
      <c r="D677" s="30" t="n"/>
      <c r="E677" s="33" t="n"/>
      <c r="F677" s="20">
        <f>IF(A677="","",WEEKNUM(A677,21))</f>
        <v/>
      </c>
      <c r="G677" s="21">
        <f>IF(OR(C677="",N(D677)=0),"",C677/D677)</f>
        <v/>
      </c>
      <c r="H677" s="21">
        <f>IF(A677="","",IFERROR(INDEX(Weight!$B$2:$B$1000,MATCH(IF(_xlfn.MAXIFS(Weight!$A$2:$A$1000,Weight!$A$2:$A$1000,"&lt;="&amp;A677)&gt;0,_xlfn.MAXIFS(Weight!$A$2:$A$1000,Weight!$A$2:$A$1000,"&lt;="&amp;A677),_xlfn.MINIFS(Weight!$A$2:$A$1000,Weight!$A$2:$A$1000,"&gt;0")),Weight!$A$2:$A$1000,0)),Settings!$B$6))</f>
        <v/>
      </c>
      <c r="I677" s="21">
        <f>IF(B677="","",IFERROR(INDEX(Settings!$B$10:$B$21,MATCH(B677,Settings!$A$10:$A$21,0)),4))</f>
        <v/>
      </c>
      <c r="J677" s="22">
        <f>IF(OR(A677="",C677="",I677=""),"",I677*H677*C677/60)</f>
        <v/>
      </c>
    </row>
    <row r="678">
      <c r="A678" s="35" t="n"/>
      <c r="B678" s="33" t="n"/>
      <c r="C678" s="31" t="n"/>
      <c r="D678" s="30" t="n"/>
      <c r="E678" s="33" t="n"/>
      <c r="F678" s="20">
        <f>IF(A678="","",WEEKNUM(A678,21))</f>
        <v/>
      </c>
      <c r="G678" s="21">
        <f>IF(OR(C678="",N(D678)=0),"",C678/D678)</f>
        <v/>
      </c>
      <c r="H678" s="21">
        <f>IF(A678="","",IFERROR(INDEX(Weight!$B$2:$B$1000,MATCH(IF(_xlfn.MAXIFS(Weight!$A$2:$A$1000,Weight!$A$2:$A$1000,"&lt;="&amp;A678)&gt;0,_xlfn.MAXIFS(Weight!$A$2:$A$1000,Weight!$A$2:$A$1000,"&lt;="&amp;A678),_xlfn.MINIFS(Weight!$A$2:$A$1000,Weight!$A$2:$A$1000,"&gt;0")),Weight!$A$2:$A$1000,0)),Settings!$B$6))</f>
        <v/>
      </c>
      <c r="I678" s="21">
        <f>IF(B678="","",IFERROR(INDEX(Settings!$B$10:$B$21,MATCH(B678,Settings!$A$10:$A$21,0)),4))</f>
        <v/>
      </c>
      <c r="J678" s="22">
        <f>IF(OR(A678="",C678="",I678=""),"",I678*H678*C678/60)</f>
        <v/>
      </c>
    </row>
    <row r="679">
      <c r="A679" s="35" t="n"/>
      <c r="B679" s="33" t="n"/>
      <c r="C679" s="31" t="n"/>
      <c r="D679" s="30" t="n"/>
      <c r="E679" s="33" t="n"/>
      <c r="F679" s="20">
        <f>IF(A679="","",WEEKNUM(A679,21))</f>
        <v/>
      </c>
      <c r="G679" s="21">
        <f>IF(OR(C679="",N(D679)=0),"",C679/D679)</f>
        <v/>
      </c>
      <c r="H679" s="21">
        <f>IF(A679="","",IFERROR(INDEX(Weight!$B$2:$B$1000,MATCH(IF(_xlfn.MAXIFS(Weight!$A$2:$A$1000,Weight!$A$2:$A$1000,"&lt;="&amp;A679)&gt;0,_xlfn.MAXIFS(Weight!$A$2:$A$1000,Weight!$A$2:$A$1000,"&lt;="&amp;A679),_xlfn.MINIFS(Weight!$A$2:$A$1000,Weight!$A$2:$A$1000,"&gt;0")),Weight!$A$2:$A$1000,0)),Settings!$B$6))</f>
        <v/>
      </c>
      <c r="I679" s="21">
        <f>IF(B679="","",IFERROR(INDEX(Settings!$B$10:$B$21,MATCH(B679,Settings!$A$10:$A$21,0)),4))</f>
        <v/>
      </c>
      <c r="J679" s="22">
        <f>IF(OR(A679="",C679="",I679=""),"",I679*H679*C679/60)</f>
        <v/>
      </c>
    </row>
    <row r="680">
      <c r="A680" s="35" t="n"/>
      <c r="B680" s="33" t="n"/>
      <c r="C680" s="31" t="n"/>
      <c r="D680" s="30" t="n"/>
      <c r="E680" s="33" t="n"/>
      <c r="F680" s="20">
        <f>IF(A680="","",WEEKNUM(A680,21))</f>
        <v/>
      </c>
      <c r="G680" s="21">
        <f>IF(OR(C680="",N(D680)=0),"",C680/D680)</f>
        <v/>
      </c>
      <c r="H680" s="21">
        <f>IF(A680="","",IFERROR(INDEX(Weight!$B$2:$B$1000,MATCH(IF(_xlfn.MAXIFS(Weight!$A$2:$A$1000,Weight!$A$2:$A$1000,"&lt;="&amp;A680)&gt;0,_xlfn.MAXIFS(Weight!$A$2:$A$1000,Weight!$A$2:$A$1000,"&lt;="&amp;A680),_xlfn.MINIFS(Weight!$A$2:$A$1000,Weight!$A$2:$A$1000,"&gt;0")),Weight!$A$2:$A$1000,0)),Settings!$B$6))</f>
        <v/>
      </c>
      <c r="I680" s="21">
        <f>IF(B680="","",IFERROR(INDEX(Settings!$B$10:$B$21,MATCH(B680,Settings!$A$10:$A$21,0)),4))</f>
        <v/>
      </c>
      <c r="J680" s="22">
        <f>IF(OR(A680="",C680="",I680=""),"",I680*H680*C680/60)</f>
        <v/>
      </c>
    </row>
    <row r="681">
      <c r="A681" s="35" t="n"/>
      <c r="B681" s="33" t="n"/>
      <c r="C681" s="31" t="n"/>
      <c r="D681" s="30" t="n"/>
      <c r="E681" s="33" t="n"/>
      <c r="F681" s="20">
        <f>IF(A681="","",WEEKNUM(A681,21))</f>
        <v/>
      </c>
      <c r="G681" s="21">
        <f>IF(OR(C681="",N(D681)=0),"",C681/D681)</f>
        <v/>
      </c>
      <c r="H681" s="21">
        <f>IF(A681="","",IFERROR(INDEX(Weight!$B$2:$B$1000,MATCH(IF(_xlfn.MAXIFS(Weight!$A$2:$A$1000,Weight!$A$2:$A$1000,"&lt;="&amp;A681)&gt;0,_xlfn.MAXIFS(Weight!$A$2:$A$1000,Weight!$A$2:$A$1000,"&lt;="&amp;A681),_xlfn.MINIFS(Weight!$A$2:$A$1000,Weight!$A$2:$A$1000,"&gt;0")),Weight!$A$2:$A$1000,0)),Settings!$B$6))</f>
        <v/>
      </c>
      <c r="I681" s="21">
        <f>IF(B681="","",IFERROR(INDEX(Settings!$B$10:$B$21,MATCH(B681,Settings!$A$10:$A$21,0)),4))</f>
        <v/>
      </c>
      <c r="J681" s="22">
        <f>IF(OR(A681="",C681="",I681=""),"",I681*H681*C681/60)</f>
        <v/>
      </c>
    </row>
    <row r="682">
      <c r="A682" s="35" t="n"/>
      <c r="B682" s="33" t="n"/>
      <c r="C682" s="31" t="n"/>
      <c r="D682" s="30" t="n"/>
      <c r="E682" s="33" t="n"/>
      <c r="F682" s="20">
        <f>IF(A682="","",WEEKNUM(A682,21))</f>
        <v/>
      </c>
      <c r="G682" s="21">
        <f>IF(OR(C682="",N(D682)=0),"",C682/D682)</f>
        <v/>
      </c>
      <c r="H682" s="21">
        <f>IF(A682="","",IFERROR(INDEX(Weight!$B$2:$B$1000,MATCH(IF(_xlfn.MAXIFS(Weight!$A$2:$A$1000,Weight!$A$2:$A$1000,"&lt;="&amp;A682)&gt;0,_xlfn.MAXIFS(Weight!$A$2:$A$1000,Weight!$A$2:$A$1000,"&lt;="&amp;A682),_xlfn.MINIFS(Weight!$A$2:$A$1000,Weight!$A$2:$A$1000,"&gt;0")),Weight!$A$2:$A$1000,0)),Settings!$B$6))</f>
        <v/>
      </c>
      <c r="I682" s="21">
        <f>IF(B682="","",IFERROR(INDEX(Settings!$B$10:$B$21,MATCH(B682,Settings!$A$10:$A$21,0)),4))</f>
        <v/>
      </c>
      <c r="J682" s="22">
        <f>IF(OR(A682="",C682="",I682=""),"",I682*H682*C682/60)</f>
        <v/>
      </c>
    </row>
    <row r="683">
      <c r="A683" s="35" t="n"/>
      <c r="B683" s="33" t="n"/>
      <c r="C683" s="31" t="n"/>
      <c r="D683" s="30" t="n"/>
      <c r="E683" s="33" t="n"/>
      <c r="F683" s="20">
        <f>IF(A683="","",WEEKNUM(A683,21))</f>
        <v/>
      </c>
      <c r="G683" s="21">
        <f>IF(OR(C683="",N(D683)=0),"",C683/D683)</f>
        <v/>
      </c>
      <c r="H683" s="21">
        <f>IF(A683="","",IFERROR(INDEX(Weight!$B$2:$B$1000,MATCH(IF(_xlfn.MAXIFS(Weight!$A$2:$A$1000,Weight!$A$2:$A$1000,"&lt;="&amp;A683)&gt;0,_xlfn.MAXIFS(Weight!$A$2:$A$1000,Weight!$A$2:$A$1000,"&lt;="&amp;A683),_xlfn.MINIFS(Weight!$A$2:$A$1000,Weight!$A$2:$A$1000,"&gt;0")),Weight!$A$2:$A$1000,0)),Settings!$B$6))</f>
        <v/>
      </c>
      <c r="I683" s="21">
        <f>IF(B683="","",IFERROR(INDEX(Settings!$B$10:$B$21,MATCH(B683,Settings!$A$10:$A$21,0)),4))</f>
        <v/>
      </c>
      <c r="J683" s="22">
        <f>IF(OR(A683="",C683="",I683=""),"",I683*H683*C683/60)</f>
        <v/>
      </c>
    </row>
    <row r="684">
      <c r="A684" s="35" t="n"/>
      <c r="B684" s="33" t="n"/>
      <c r="C684" s="31" t="n"/>
      <c r="D684" s="30" t="n"/>
      <c r="E684" s="33" t="n"/>
      <c r="F684" s="20">
        <f>IF(A684="","",WEEKNUM(A684,21))</f>
        <v/>
      </c>
      <c r="G684" s="21">
        <f>IF(OR(C684="",N(D684)=0),"",C684/D684)</f>
        <v/>
      </c>
      <c r="H684" s="21">
        <f>IF(A684="","",IFERROR(INDEX(Weight!$B$2:$B$1000,MATCH(IF(_xlfn.MAXIFS(Weight!$A$2:$A$1000,Weight!$A$2:$A$1000,"&lt;="&amp;A684)&gt;0,_xlfn.MAXIFS(Weight!$A$2:$A$1000,Weight!$A$2:$A$1000,"&lt;="&amp;A684),_xlfn.MINIFS(Weight!$A$2:$A$1000,Weight!$A$2:$A$1000,"&gt;0")),Weight!$A$2:$A$1000,0)),Settings!$B$6))</f>
        <v/>
      </c>
      <c r="I684" s="21">
        <f>IF(B684="","",IFERROR(INDEX(Settings!$B$10:$B$21,MATCH(B684,Settings!$A$10:$A$21,0)),4))</f>
        <v/>
      </c>
      <c r="J684" s="22">
        <f>IF(OR(A684="",C684="",I684=""),"",I684*H684*C684/60)</f>
        <v/>
      </c>
    </row>
    <row r="685">
      <c r="A685" s="35" t="n"/>
      <c r="B685" s="33" t="n"/>
      <c r="C685" s="31" t="n"/>
      <c r="D685" s="30" t="n"/>
      <c r="E685" s="33" t="n"/>
      <c r="F685" s="20">
        <f>IF(A685="","",WEEKNUM(A685,21))</f>
        <v/>
      </c>
      <c r="G685" s="21">
        <f>IF(OR(C685="",N(D685)=0),"",C685/D685)</f>
        <v/>
      </c>
      <c r="H685" s="21">
        <f>IF(A685="","",IFERROR(INDEX(Weight!$B$2:$B$1000,MATCH(IF(_xlfn.MAXIFS(Weight!$A$2:$A$1000,Weight!$A$2:$A$1000,"&lt;="&amp;A685)&gt;0,_xlfn.MAXIFS(Weight!$A$2:$A$1000,Weight!$A$2:$A$1000,"&lt;="&amp;A685),_xlfn.MINIFS(Weight!$A$2:$A$1000,Weight!$A$2:$A$1000,"&gt;0")),Weight!$A$2:$A$1000,0)),Settings!$B$6))</f>
        <v/>
      </c>
      <c r="I685" s="21">
        <f>IF(B685="","",IFERROR(INDEX(Settings!$B$10:$B$21,MATCH(B685,Settings!$A$10:$A$21,0)),4))</f>
        <v/>
      </c>
      <c r="J685" s="22">
        <f>IF(OR(A685="",C685="",I685=""),"",I685*H685*C685/60)</f>
        <v/>
      </c>
    </row>
    <row r="686">
      <c r="A686" s="35" t="n"/>
      <c r="B686" s="33" t="n"/>
      <c r="C686" s="31" t="n"/>
      <c r="D686" s="30" t="n"/>
      <c r="E686" s="33" t="n"/>
      <c r="F686" s="20">
        <f>IF(A686="","",WEEKNUM(A686,21))</f>
        <v/>
      </c>
      <c r="G686" s="21">
        <f>IF(OR(C686="",N(D686)=0),"",C686/D686)</f>
        <v/>
      </c>
      <c r="H686" s="21">
        <f>IF(A686="","",IFERROR(INDEX(Weight!$B$2:$B$1000,MATCH(IF(_xlfn.MAXIFS(Weight!$A$2:$A$1000,Weight!$A$2:$A$1000,"&lt;="&amp;A686)&gt;0,_xlfn.MAXIFS(Weight!$A$2:$A$1000,Weight!$A$2:$A$1000,"&lt;="&amp;A686),_xlfn.MINIFS(Weight!$A$2:$A$1000,Weight!$A$2:$A$1000,"&gt;0")),Weight!$A$2:$A$1000,0)),Settings!$B$6))</f>
        <v/>
      </c>
      <c r="I686" s="21">
        <f>IF(B686="","",IFERROR(INDEX(Settings!$B$10:$B$21,MATCH(B686,Settings!$A$10:$A$21,0)),4))</f>
        <v/>
      </c>
      <c r="J686" s="22">
        <f>IF(OR(A686="",C686="",I686=""),"",I686*H686*C686/60)</f>
        <v/>
      </c>
    </row>
    <row r="687">
      <c r="A687" s="35" t="n"/>
      <c r="B687" s="33" t="n"/>
      <c r="C687" s="31" t="n"/>
      <c r="D687" s="30" t="n"/>
      <c r="E687" s="33" t="n"/>
      <c r="F687" s="20">
        <f>IF(A687="","",WEEKNUM(A687,21))</f>
        <v/>
      </c>
      <c r="G687" s="21">
        <f>IF(OR(C687="",N(D687)=0),"",C687/D687)</f>
        <v/>
      </c>
      <c r="H687" s="21">
        <f>IF(A687="","",IFERROR(INDEX(Weight!$B$2:$B$1000,MATCH(IF(_xlfn.MAXIFS(Weight!$A$2:$A$1000,Weight!$A$2:$A$1000,"&lt;="&amp;A687)&gt;0,_xlfn.MAXIFS(Weight!$A$2:$A$1000,Weight!$A$2:$A$1000,"&lt;="&amp;A687),_xlfn.MINIFS(Weight!$A$2:$A$1000,Weight!$A$2:$A$1000,"&gt;0")),Weight!$A$2:$A$1000,0)),Settings!$B$6))</f>
        <v/>
      </c>
      <c r="I687" s="21">
        <f>IF(B687="","",IFERROR(INDEX(Settings!$B$10:$B$21,MATCH(B687,Settings!$A$10:$A$21,0)),4))</f>
        <v/>
      </c>
      <c r="J687" s="22">
        <f>IF(OR(A687="",C687="",I687=""),"",I687*H687*C687/60)</f>
        <v/>
      </c>
    </row>
    <row r="688">
      <c r="A688" s="35" t="n"/>
      <c r="B688" s="33" t="n"/>
      <c r="C688" s="31" t="n"/>
      <c r="D688" s="30" t="n"/>
      <c r="E688" s="33" t="n"/>
      <c r="F688" s="20">
        <f>IF(A688="","",WEEKNUM(A688,21))</f>
        <v/>
      </c>
      <c r="G688" s="21">
        <f>IF(OR(C688="",N(D688)=0),"",C688/D688)</f>
        <v/>
      </c>
      <c r="H688" s="21">
        <f>IF(A688="","",IFERROR(INDEX(Weight!$B$2:$B$1000,MATCH(IF(_xlfn.MAXIFS(Weight!$A$2:$A$1000,Weight!$A$2:$A$1000,"&lt;="&amp;A688)&gt;0,_xlfn.MAXIFS(Weight!$A$2:$A$1000,Weight!$A$2:$A$1000,"&lt;="&amp;A688),_xlfn.MINIFS(Weight!$A$2:$A$1000,Weight!$A$2:$A$1000,"&gt;0")),Weight!$A$2:$A$1000,0)),Settings!$B$6))</f>
        <v/>
      </c>
      <c r="I688" s="21">
        <f>IF(B688="","",IFERROR(INDEX(Settings!$B$10:$B$21,MATCH(B688,Settings!$A$10:$A$21,0)),4))</f>
        <v/>
      </c>
      <c r="J688" s="22">
        <f>IF(OR(A688="",C688="",I688=""),"",I688*H688*C688/60)</f>
        <v/>
      </c>
    </row>
    <row r="689">
      <c r="A689" s="35" t="n"/>
      <c r="B689" s="33" t="n"/>
      <c r="C689" s="31" t="n"/>
      <c r="D689" s="30" t="n"/>
      <c r="E689" s="33" t="n"/>
      <c r="F689" s="20">
        <f>IF(A689="","",WEEKNUM(A689,21))</f>
        <v/>
      </c>
      <c r="G689" s="21">
        <f>IF(OR(C689="",N(D689)=0),"",C689/D689)</f>
        <v/>
      </c>
      <c r="H689" s="21">
        <f>IF(A689="","",IFERROR(INDEX(Weight!$B$2:$B$1000,MATCH(IF(_xlfn.MAXIFS(Weight!$A$2:$A$1000,Weight!$A$2:$A$1000,"&lt;="&amp;A689)&gt;0,_xlfn.MAXIFS(Weight!$A$2:$A$1000,Weight!$A$2:$A$1000,"&lt;="&amp;A689),_xlfn.MINIFS(Weight!$A$2:$A$1000,Weight!$A$2:$A$1000,"&gt;0")),Weight!$A$2:$A$1000,0)),Settings!$B$6))</f>
        <v/>
      </c>
      <c r="I689" s="21">
        <f>IF(B689="","",IFERROR(INDEX(Settings!$B$10:$B$21,MATCH(B689,Settings!$A$10:$A$21,0)),4))</f>
        <v/>
      </c>
      <c r="J689" s="22">
        <f>IF(OR(A689="",C689="",I689=""),"",I689*H689*C689/60)</f>
        <v/>
      </c>
    </row>
    <row r="690">
      <c r="A690" s="35" t="n"/>
      <c r="B690" s="33" t="n"/>
      <c r="C690" s="31" t="n"/>
      <c r="D690" s="30" t="n"/>
      <c r="E690" s="33" t="n"/>
      <c r="F690" s="20">
        <f>IF(A690="","",WEEKNUM(A690,21))</f>
        <v/>
      </c>
      <c r="G690" s="21">
        <f>IF(OR(C690="",N(D690)=0),"",C690/D690)</f>
        <v/>
      </c>
      <c r="H690" s="21">
        <f>IF(A690="","",IFERROR(INDEX(Weight!$B$2:$B$1000,MATCH(IF(_xlfn.MAXIFS(Weight!$A$2:$A$1000,Weight!$A$2:$A$1000,"&lt;="&amp;A690)&gt;0,_xlfn.MAXIFS(Weight!$A$2:$A$1000,Weight!$A$2:$A$1000,"&lt;="&amp;A690),_xlfn.MINIFS(Weight!$A$2:$A$1000,Weight!$A$2:$A$1000,"&gt;0")),Weight!$A$2:$A$1000,0)),Settings!$B$6))</f>
        <v/>
      </c>
      <c r="I690" s="21">
        <f>IF(B690="","",IFERROR(INDEX(Settings!$B$10:$B$21,MATCH(B690,Settings!$A$10:$A$21,0)),4))</f>
        <v/>
      </c>
      <c r="J690" s="22">
        <f>IF(OR(A690="",C690="",I690=""),"",I690*H690*C690/60)</f>
        <v/>
      </c>
    </row>
    <row r="691">
      <c r="A691" s="35" t="n"/>
      <c r="B691" s="33" t="n"/>
      <c r="C691" s="31" t="n"/>
      <c r="D691" s="30" t="n"/>
      <c r="E691" s="33" t="n"/>
      <c r="F691" s="20">
        <f>IF(A691="","",WEEKNUM(A691,21))</f>
        <v/>
      </c>
      <c r="G691" s="21">
        <f>IF(OR(C691="",N(D691)=0),"",C691/D691)</f>
        <v/>
      </c>
      <c r="H691" s="21">
        <f>IF(A691="","",IFERROR(INDEX(Weight!$B$2:$B$1000,MATCH(IF(_xlfn.MAXIFS(Weight!$A$2:$A$1000,Weight!$A$2:$A$1000,"&lt;="&amp;A691)&gt;0,_xlfn.MAXIFS(Weight!$A$2:$A$1000,Weight!$A$2:$A$1000,"&lt;="&amp;A691),_xlfn.MINIFS(Weight!$A$2:$A$1000,Weight!$A$2:$A$1000,"&gt;0")),Weight!$A$2:$A$1000,0)),Settings!$B$6))</f>
        <v/>
      </c>
      <c r="I691" s="21">
        <f>IF(B691="","",IFERROR(INDEX(Settings!$B$10:$B$21,MATCH(B691,Settings!$A$10:$A$21,0)),4))</f>
        <v/>
      </c>
      <c r="J691" s="22">
        <f>IF(OR(A691="",C691="",I691=""),"",I691*H691*C691/60)</f>
        <v/>
      </c>
    </row>
    <row r="692">
      <c r="A692" s="35" t="n"/>
      <c r="B692" s="33" t="n"/>
      <c r="C692" s="31" t="n"/>
      <c r="D692" s="30" t="n"/>
      <c r="E692" s="33" t="n"/>
      <c r="F692" s="20">
        <f>IF(A692="","",WEEKNUM(A692,21))</f>
        <v/>
      </c>
      <c r="G692" s="21">
        <f>IF(OR(C692="",N(D692)=0),"",C692/D692)</f>
        <v/>
      </c>
      <c r="H692" s="21">
        <f>IF(A692="","",IFERROR(INDEX(Weight!$B$2:$B$1000,MATCH(IF(_xlfn.MAXIFS(Weight!$A$2:$A$1000,Weight!$A$2:$A$1000,"&lt;="&amp;A692)&gt;0,_xlfn.MAXIFS(Weight!$A$2:$A$1000,Weight!$A$2:$A$1000,"&lt;="&amp;A692),_xlfn.MINIFS(Weight!$A$2:$A$1000,Weight!$A$2:$A$1000,"&gt;0")),Weight!$A$2:$A$1000,0)),Settings!$B$6))</f>
        <v/>
      </c>
      <c r="I692" s="21">
        <f>IF(B692="","",IFERROR(INDEX(Settings!$B$10:$B$21,MATCH(B692,Settings!$A$10:$A$21,0)),4))</f>
        <v/>
      </c>
      <c r="J692" s="22">
        <f>IF(OR(A692="",C692="",I692=""),"",I692*H692*C692/60)</f>
        <v/>
      </c>
    </row>
    <row r="693">
      <c r="A693" s="35" t="n"/>
      <c r="B693" s="33" t="n"/>
      <c r="C693" s="31" t="n"/>
      <c r="D693" s="30" t="n"/>
      <c r="E693" s="33" t="n"/>
      <c r="F693" s="20">
        <f>IF(A693="","",WEEKNUM(A693,21))</f>
        <v/>
      </c>
      <c r="G693" s="21">
        <f>IF(OR(C693="",N(D693)=0),"",C693/D693)</f>
        <v/>
      </c>
      <c r="H693" s="21">
        <f>IF(A693="","",IFERROR(INDEX(Weight!$B$2:$B$1000,MATCH(IF(_xlfn.MAXIFS(Weight!$A$2:$A$1000,Weight!$A$2:$A$1000,"&lt;="&amp;A693)&gt;0,_xlfn.MAXIFS(Weight!$A$2:$A$1000,Weight!$A$2:$A$1000,"&lt;="&amp;A693),_xlfn.MINIFS(Weight!$A$2:$A$1000,Weight!$A$2:$A$1000,"&gt;0")),Weight!$A$2:$A$1000,0)),Settings!$B$6))</f>
        <v/>
      </c>
      <c r="I693" s="21">
        <f>IF(B693="","",IFERROR(INDEX(Settings!$B$10:$B$21,MATCH(B693,Settings!$A$10:$A$21,0)),4))</f>
        <v/>
      </c>
      <c r="J693" s="22">
        <f>IF(OR(A693="",C693="",I693=""),"",I693*H693*C693/60)</f>
        <v/>
      </c>
    </row>
    <row r="694">
      <c r="A694" s="35" t="n"/>
      <c r="B694" s="33" t="n"/>
      <c r="C694" s="31" t="n"/>
      <c r="D694" s="30" t="n"/>
      <c r="E694" s="33" t="n"/>
      <c r="F694" s="20">
        <f>IF(A694="","",WEEKNUM(A694,21))</f>
        <v/>
      </c>
      <c r="G694" s="21">
        <f>IF(OR(C694="",N(D694)=0),"",C694/D694)</f>
        <v/>
      </c>
      <c r="H694" s="21">
        <f>IF(A694="","",IFERROR(INDEX(Weight!$B$2:$B$1000,MATCH(IF(_xlfn.MAXIFS(Weight!$A$2:$A$1000,Weight!$A$2:$A$1000,"&lt;="&amp;A694)&gt;0,_xlfn.MAXIFS(Weight!$A$2:$A$1000,Weight!$A$2:$A$1000,"&lt;="&amp;A694),_xlfn.MINIFS(Weight!$A$2:$A$1000,Weight!$A$2:$A$1000,"&gt;0")),Weight!$A$2:$A$1000,0)),Settings!$B$6))</f>
        <v/>
      </c>
      <c r="I694" s="21">
        <f>IF(B694="","",IFERROR(INDEX(Settings!$B$10:$B$21,MATCH(B694,Settings!$A$10:$A$21,0)),4))</f>
        <v/>
      </c>
      <c r="J694" s="22">
        <f>IF(OR(A694="",C694="",I694=""),"",I694*H694*C694/60)</f>
        <v/>
      </c>
    </row>
    <row r="695">
      <c r="A695" s="35" t="n"/>
      <c r="B695" s="33" t="n"/>
      <c r="C695" s="31" t="n"/>
      <c r="D695" s="30" t="n"/>
      <c r="E695" s="33" t="n"/>
      <c r="F695" s="20">
        <f>IF(A695="","",WEEKNUM(A695,21))</f>
        <v/>
      </c>
      <c r="G695" s="21">
        <f>IF(OR(C695="",N(D695)=0),"",C695/D695)</f>
        <v/>
      </c>
      <c r="H695" s="21">
        <f>IF(A695="","",IFERROR(INDEX(Weight!$B$2:$B$1000,MATCH(IF(_xlfn.MAXIFS(Weight!$A$2:$A$1000,Weight!$A$2:$A$1000,"&lt;="&amp;A695)&gt;0,_xlfn.MAXIFS(Weight!$A$2:$A$1000,Weight!$A$2:$A$1000,"&lt;="&amp;A695),_xlfn.MINIFS(Weight!$A$2:$A$1000,Weight!$A$2:$A$1000,"&gt;0")),Weight!$A$2:$A$1000,0)),Settings!$B$6))</f>
        <v/>
      </c>
      <c r="I695" s="21">
        <f>IF(B695="","",IFERROR(INDEX(Settings!$B$10:$B$21,MATCH(B695,Settings!$A$10:$A$21,0)),4))</f>
        <v/>
      </c>
      <c r="J695" s="22">
        <f>IF(OR(A695="",C695="",I695=""),"",I695*H695*C695/60)</f>
        <v/>
      </c>
    </row>
    <row r="696">
      <c r="A696" s="35" t="n"/>
      <c r="B696" s="33" t="n"/>
      <c r="C696" s="31" t="n"/>
      <c r="D696" s="30" t="n"/>
      <c r="E696" s="33" t="n"/>
      <c r="F696" s="20">
        <f>IF(A696="","",WEEKNUM(A696,21))</f>
        <v/>
      </c>
      <c r="G696" s="21">
        <f>IF(OR(C696="",N(D696)=0),"",C696/D696)</f>
        <v/>
      </c>
      <c r="H696" s="21">
        <f>IF(A696="","",IFERROR(INDEX(Weight!$B$2:$B$1000,MATCH(IF(_xlfn.MAXIFS(Weight!$A$2:$A$1000,Weight!$A$2:$A$1000,"&lt;="&amp;A696)&gt;0,_xlfn.MAXIFS(Weight!$A$2:$A$1000,Weight!$A$2:$A$1000,"&lt;="&amp;A696),_xlfn.MINIFS(Weight!$A$2:$A$1000,Weight!$A$2:$A$1000,"&gt;0")),Weight!$A$2:$A$1000,0)),Settings!$B$6))</f>
        <v/>
      </c>
      <c r="I696" s="21">
        <f>IF(B696="","",IFERROR(INDEX(Settings!$B$10:$B$21,MATCH(B696,Settings!$A$10:$A$21,0)),4))</f>
        <v/>
      </c>
      <c r="J696" s="22">
        <f>IF(OR(A696="",C696="",I696=""),"",I696*H696*C696/60)</f>
        <v/>
      </c>
    </row>
    <row r="697">
      <c r="A697" s="35" t="n"/>
      <c r="B697" s="33" t="n"/>
      <c r="C697" s="31" t="n"/>
      <c r="D697" s="30" t="n"/>
      <c r="E697" s="33" t="n"/>
      <c r="F697" s="20">
        <f>IF(A697="","",WEEKNUM(A697,21))</f>
        <v/>
      </c>
      <c r="G697" s="21">
        <f>IF(OR(C697="",N(D697)=0),"",C697/D697)</f>
        <v/>
      </c>
      <c r="H697" s="21">
        <f>IF(A697="","",IFERROR(INDEX(Weight!$B$2:$B$1000,MATCH(IF(_xlfn.MAXIFS(Weight!$A$2:$A$1000,Weight!$A$2:$A$1000,"&lt;="&amp;A697)&gt;0,_xlfn.MAXIFS(Weight!$A$2:$A$1000,Weight!$A$2:$A$1000,"&lt;="&amp;A697),_xlfn.MINIFS(Weight!$A$2:$A$1000,Weight!$A$2:$A$1000,"&gt;0")),Weight!$A$2:$A$1000,0)),Settings!$B$6))</f>
        <v/>
      </c>
      <c r="I697" s="21">
        <f>IF(B697="","",IFERROR(INDEX(Settings!$B$10:$B$21,MATCH(B697,Settings!$A$10:$A$21,0)),4))</f>
        <v/>
      </c>
      <c r="J697" s="22">
        <f>IF(OR(A697="",C697="",I697=""),"",I697*H697*C697/60)</f>
        <v/>
      </c>
    </row>
    <row r="698">
      <c r="A698" s="35" t="n"/>
      <c r="B698" s="33" t="n"/>
      <c r="C698" s="31" t="n"/>
      <c r="D698" s="30" t="n"/>
      <c r="E698" s="33" t="n"/>
      <c r="F698" s="20">
        <f>IF(A698="","",WEEKNUM(A698,21))</f>
        <v/>
      </c>
      <c r="G698" s="21">
        <f>IF(OR(C698="",N(D698)=0),"",C698/D698)</f>
        <v/>
      </c>
      <c r="H698" s="21">
        <f>IF(A698="","",IFERROR(INDEX(Weight!$B$2:$B$1000,MATCH(IF(_xlfn.MAXIFS(Weight!$A$2:$A$1000,Weight!$A$2:$A$1000,"&lt;="&amp;A698)&gt;0,_xlfn.MAXIFS(Weight!$A$2:$A$1000,Weight!$A$2:$A$1000,"&lt;="&amp;A698),_xlfn.MINIFS(Weight!$A$2:$A$1000,Weight!$A$2:$A$1000,"&gt;0")),Weight!$A$2:$A$1000,0)),Settings!$B$6))</f>
        <v/>
      </c>
      <c r="I698" s="21">
        <f>IF(B698="","",IFERROR(INDEX(Settings!$B$10:$B$21,MATCH(B698,Settings!$A$10:$A$21,0)),4))</f>
        <v/>
      </c>
      <c r="J698" s="22">
        <f>IF(OR(A698="",C698="",I698=""),"",I698*H698*C698/60)</f>
        <v/>
      </c>
    </row>
    <row r="699">
      <c r="A699" s="35" t="n"/>
      <c r="B699" s="33" t="n"/>
      <c r="C699" s="31" t="n"/>
      <c r="D699" s="30" t="n"/>
      <c r="E699" s="33" t="n"/>
      <c r="F699" s="20">
        <f>IF(A699="","",WEEKNUM(A699,21))</f>
        <v/>
      </c>
      <c r="G699" s="21">
        <f>IF(OR(C699="",N(D699)=0),"",C699/D699)</f>
        <v/>
      </c>
      <c r="H699" s="21">
        <f>IF(A699="","",IFERROR(INDEX(Weight!$B$2:$B$1000,MATCH(IF(_xlfn.MAXIFS(Weight!$A$2:$A$1000,Weight!$A$2:$A$1000,"&lt;="&amp;A699)&gt;0,_xlfn.MAXIFS(Weight!$A$2:$A$1000,Weight!$A$2:$A$1000,"&lt;="&amp;A699),_xlfn.MINIFS(Weight!$A$2:$A$1000,Weight!$A$2:$A$1000,"&gt;0")),Weight!$A$2:$A$1000,0)),Settings!$B$6))</f>
        <v/>
      </c>
      <c r="I699" s="21">
        <f>IF(B699="","",IFERROR(INDEX(Settings!$B$10:$B$21,MATCH(B699,Settings!$A$10:$A$21,0)),4))</f>
        <v/>
      </c>
      <c r="J699" s="22">
        <f>IF(OR(A699="",C699="",I699=""),"",I699*H699*C699/60)</f>
        <v/>
      </c>
    </row>
    <row r="700">
      <c r="A700" s="35" t="n"/>
      <c r="B700" s="33" t="n"/>
      <c r="C700" s="31" t="n"/>
      <c r="D700" s="30" t="n"/>
      <c r="E700" s="33" t="n"/>
      <c r="F700" s="20">
        <f>IF(A700="","",WEEKNUM(A700,21))</f>
        <v/>
      </c>
      <c r="G700" s="21">
        <f>IF(OR(C700="",N(D700)=0),"",C700/D700)</f>
        <v/>
      </c>
      <c r="H700" s="21">
        <f>IF(A700="","",IFERROR(INDEX(Weight!$B$2:$B$1000,MATCH(IF(_xlfn.MAXIFS(Weight!$A$2:$A$1000,Weight!$A$2:$A$1000,"&lt;="&amp;A700)&gt;0,_xlfn.MAXIFS(Weight!$A$2:$A$1000,Weight!$A$2:$A$1000,"&lt;="&amp;A700),_xlfn.MINIFS(Weight!$A$2:$A$1000,Weight!$A$2:$A$1000,"&gt;0")),Weight!$A$2:$A$1000,0)),Settings!$B$6))</f>
        <v/>
      </c>
      <c r="I700" s="21">
        <f>IF(B700="","",IFERROR(INDEX(Settings!$B$10:$B$21,MATCH(B700,Settings!$A$10:$A$21,0)),4))</f>
        <v/>
      </c>
      <c r="J700" s="22">
        <f>IF(OR(A700="",C700="",I700=""),"",I700*H700*C700/60)</f>
        <v/>
      </c>
    </row>
    <row r="701">
      <c r="A701" s="35" t="n"/>
      <c r="B701" s="33" t="n"/>
      <c r="C701" s="31" t="n"/>
      <c r="D701" s="30" t="n"/>
      <c r="E701" s="33" t="n"/>
      <c r="F701" s="20">
        <f>IF(A701="","",WEEKNUM(A701,21))</f>
        <v/>
      </c>
      <c r="G701" s="21">
        <f>IF(OR(C701="",N(D701)=0),"",C701/D701)</f>
        <v/>
      </c>
      <c r="H701" s="21">
        <f>IF(A701="","",IFERROR(INDEX(Weight!$B$2:$B$1000,MATCH(IF(_xlfn.MAXIFS(Weight!$A$2:$A$1000,Weight!$A$2:$A$1000,"&lt;="&amp;A701)&gt;0,_xlfn.MAXIFS(Weight!$A$2:$A$1000,Weight!$A$2:$A$1000,"&lt;="&amp;A701),_xlfn.MINIFS(Weight!$A$2:$A$1000,Weight!$A$2:$A$1000,"&gt;0")),Weight!$A$2:$A$1000,0)),Settings!$B$6))</f>
        <v/>
      </c>
      <c r="I701" s="21">
        <f>IF(B701="","",IFERROR(INDEX(Settings!$B$10:$B$21,MATCH(B701,Settings!$A$10:$A$21,0)),4))</f>
        <v/>
      </c>
      <c r="J701" s="22">
        <f>IF(OR(A701="",C701="",I701=""),"",I701*H701*C701/60)</f>
        <v/>
      </c>
    </row>
    <row r="702">
      <c r="A702" s="35" t="n"/>
      <c r="B702" s="33" t="n"/>
      <c r="C702" s="31" t="n"/>
      <c r="D702" s="30" t="n"/>
      <c r="E702" s="33" t="n"/>
      <c r="F702" s="20">
        <f>IF(A702="","",WEEKNUM(A702,21))</f>
        <v/>
      </c>
      <c r="G702" s="21">
        <f>IF(OR(C702="",N(D702)=0),"",C702/D702)</f>
        <v/>
      </c>
      <c r="H702" s="21">
        <f>IF(A702="","",IFERROR(INDEX(Weight!$B$2:$B$1000,MATCH(IF(_xlfn.MAXIFS(Weight!$A$2:$A$1000,Weight!$A$2:$A$1000,"&lt;="&amp;A702)&gt;0,_xlfn.MAXIFS(Weight!$A$2:$A$1000,Weight!$A$2:$A$1000,"&lt;="&amp;A702),_xlfn.MINIFS(Weight!$A$2:$A$1000,Weight!$A$2:$A$1000,"&gt;0")),Weight!$A$2:$A$1000,0)),Settings!$B$6))</f>
        <v/>
      </c>
      <c r="I702" s="21">
        <f>IF(B702="","",IFERROR(INDEX(Settings!$B$10:$B$21,MATCH(B702,Settings!$A$10:$A$21,0)),4))</f>
        <v/>
      </c>
      <c r="J702" s="22">
        <f>IF(OR(A702="",C702="",I702=""),"",I702*H702*C702/60)</f>
        <v/>
      </c>
    </row>
    <row r="703">
      <c r="A703" s="35" t="n"/>
      <c r="B703" s="33" t="n"/>
      <c r="C703" s="31" t="n"/>
      <c r="D703" s="30" t="n"/>
      <c r="E703" s="33" t="n"/>
      <c r="F703" s="20">
        <f>IF(A703="","",WEEKNUM(A703,21))</f>
        <v/>
      </c>
      <c r="G703" s="21">
        <f>IF(OR(C703="",N(D703)=0),"",C703/D703)</f>
        <v/>
      </c>
      <c r="H703" s="21">
        <f>IF(A703="","",IFERROR(INDEX(Weight!$B$2:$B$1000,MATCH(IF(_xlfn.MAXIFS(Weight!$A$2:$A$1000,Weight!$A$2:$A$1000,"&lt;="&amp;A703)&gt;0,_xlfn.MAXIFS(Weight!$A$2:$A$1000,Weight!$A$2:$A$1000,"&lt;="&amp;A703),_xlfn.MINIFS(Weight!$A$2:$A$1000,Weight!$A$2:$A$1000,"&gt;0")),Weight!$A$2:$A$1000,0)),Settings!$B$6))</f>
        <v/>
      </c>
      <c r="I703" s="21">
        <f>IF(B703="","",IFERROR(INDEX(Settings!$B$10:$B$21,MATCH(B703,Settings!$A$10:$A$21,0)),4))</f>
        <v/>
      </c>
      <c r="J703" s="22">
        <f>IF(OR(A703="",C703="",I703=""),"",I703*H703*C703/60)</f>
        <v/>
      </c>
    </row>
    <row r="704">
      <c r="A704" s="35" t="n"/>
      <c r="B704" s="33" t="n"/>
      <c r="C704" s="31" t="n"/>
      <c r="D704" s="30" t="n"/>
      <c r="E704" s="33" t="n"/>
      <c r="F704" s="20">
        <f>IF(A704="","",WEEKNUM(A704,21))</f>
        <v/>
      </c>
      <c r="G704" s="21">
        <f>IF(OR(C704="",N(D704)=0),"",C704/D704)</f>
        <v/>
      </c>
      <c r="H704" s="21">
        <f>IF(A704="","",IFERROR(INDEX(Weight!$B$2:$B$1000,MATCH(IF(_xlfn.MAXIFS(Weight!$A$2:$A$1000,Weight!$A$2:$A$1000,"&lt;="&amp;A704)&gt;0,_xlfn.MAXIFS(Weight!$A$2:$A$1000,Weight!$A$2:$A$1000,"&lt;="&amp;A704),_xlfn.MINIFS(Weight!$A$2:$A$1000,Weight!$A$2:$A$1000,"&gt;0")),Weight!$A$2:$A$1000,0)),Settings!$B$6))</f>
        <v/>
      </c>
      <c r="I704" s="21">
        <f>IF(B704="","",IFERROR(INDEX(Settings!$B$10:$B$21,MATCH(B704,Settings!$A$10:$A$21,0)),4))</f>
        <v/>
      </c>
      <c r="J704" s="22">
        <f>IF(OR(A704="",C704="",I704=""),"",I704*H704*C704/60)</f>
        <v/>
      </c>
    </row>
    <row r="705">
      <c r="A705" s="35" t="n"/>
      <c r="B705" s="33" t="n"/>
      <c r="C705" s="31" t="n"/>
      <c r="D705" s="30" t="n"/>
      <c r="E705" s="33" t="n"/>
      <c r="F705" s="20">
        <f>IF(A705="","",WEEKNUM(A705,21))</f>
        <v/>
      </c>
      <c r="G705" s="21">
        <f>IF(OR(C705="",N(D705)=0),"",C705/D705)</f>
        <v/>
      </c>
      <c r="H705" s="21">
        <f>IF(A705="","",IFERROR(INDEX(Weight!$B$2:$B$1000,MATCH(IF(_xlfn.MAXIFS(Weight!$A$2:$A$1000,Weight!$A$2:$A$1000,"&lt;="&amp;A705)&gt;0,_xlfn.MAXIFS(Weight!$A$2:$A$1000,Weight!$A$2:$A$1000,"&lt;="&amp;A705),_xlfn.MINIFS(Weight!$A$2:$A$1000,Weight!$A$2:$A$1000,"&gt;0")),Weight!$A$2:$A$1000,0)),Settings!$B$6))</f>
        <v/>
      </c>
      <c r="I705" s="21">
        <f>IF(B705="","",IFERROR(INDEX(Settings!$B$10:$B$21,MATCH(B705,Settings!$A$10:$A$21,0)),4))</f>
        <v/>
      </c>
      <c r="J705" s="22">
        <f>IF(OR(A705="",C705="",I705=""),"",I705*H705*C705/60)</f>
        <v/>
      </c>
    </row>
    <row r="706">
      <c r="A706" s="35" t="n"/>
      <c r="B706" s="33" t="n"/>
      <c r="C706" s="31" t="n"/>
      <c r="D706" s="30" t="n"/>
      <c r="E706" s="33" t="n"/>
      <c r="F706" s="20">
        <f>IF(A706="","",WEEKNUM(A706,21))</f>
        <v/>
      </c>
      <c r="G706" s="21">
        <f>IF(OR(C706="",N(D706)=0),"",C706/D706)</f>
        <v/>
      </c>
      <c r="H706" s="21">
        <f>IF(A706="","",IFERROR(INDEX(Weight!$B$2:$B$1000,MATCH(IF(_xlfn.MAXIFS(Weight!$A$2:$A$1000,Weight!$A$2:$A$1000,"&lt;="&amp;A706)&gt;0,_xlfn.MAXIFS(Weight!$A$2:$A$1000,Weight!$A$2:$A$1000,"&lt;="&amp;A706),_xlfn.MINIFS(Weight!$A$2:$A$1000,Weight!$A$2:$A$1000,"&gt;0")),Weight!$A$2:$A$1000,0)),Settings!$B$6))</f>
        <v/>
      </c>
      <c r="I706" s="21">
        <f>IF(B706="","",IFERROR(INDEX(Settings!$B$10:$B$21,MATCH(B706,Settings!$A$10:$A$21,0)),4))</f>
        <v/>
      </c>
      <c r="J706" s="22">
        <f>IF(OR(A706="",C706="",I706=""),"",I706*H706*C706/60)</f>
        <v/>
      </c>
    </row>
    <row r="707">
      <c r="A707" s="35" t="n"/>
      <c r="B707" s="33" t="n"/>
      <c r="C707" s="31" t="n"/>
      <c r="D707" s="30" t="n"/>
      <c r="E707" s="33" t="n"/>
      <c r="F707" s="20">
        <f>IF(A707="","",WEEKNUM(A707,21))</f>
        <v/>
      </c>
      <c r="G707" s="21">
        <f>IF(OR(C707="",N(D707)=0),"",C707/D707)</f>
        <v/>
      </c>
      <c r="H707" s="21">
        <f>IF(A707="","",IFERROR(INDEX(Weight!$B$2:$B$1000,MATCH(IF(_xlfn.MAXIFS(Weight!$A$2:$A$1000,Weight!$A$2:$A$1000,"&lt;="&amp;A707)&gt;0,_xlfn.MAXIFS(Weight!$A$2:$A$1000,Weight!$A$2:$A$1000,"&lt;="&amp;A707),_xlfn.MINIFS(Weight!$A$2:$A$1000,Weight!$A$2:$A$1000,"&gt;0")),Weight!$A$2:$A$1000,0)),Settings!$B$6))</f>
        <v/>
      </c>
      <c r="I707" s="21">
        <f>IF(B707="","",IFERROR(INDEX(Settings!$B$10:$B$21,MATCH(B707,Settings!$A$10:$A$21,0)),4))</f>
        <v/>
      </c>
      <c r="J707" s="22">
        <f>IF(OR(A707="",C707="",I707=""),"",I707*H707*C707/60)</f>
        <v/>
      </c>
    </row>
    <row r="708">
      <c r="A708" s="35" t="n"/>
      <c r="B708" s="33" t="n"/>
      <c r="C708" s="31" t="n"/>
      <c r="D708" s="30" t="n"/>
      <c r="E708" s="33" t="n"/>
      <c r="F708" s="20">
        <f>IF(A708="","",WEEKNUM(A708,21))</f>
        <v/>
      </c>
      <c r="G708" s="21">
        <f>IF(OR(C708="",N(D708)=0),"",C708/D708)</f>
        <v/>
      </c>
      <c r="H708" s="21">
        <f>IF(A708="","",IFERROR(INDEX(Weight!$B$2:$B$1000,MATCH(IF(_xlfn.MAXIFS(Weight!$A$2:$A$1000,Weight!$A$2:$A$1000,"&lt;="&amp;A708)&gt;0,_xlfn.MAXIFS(Weight!$A$2:$A$1000,Weight!$A$2:$A$1000,"&lt;="&amp;A708),_xlfn.MINIFS(Weight!$A$2:$A$1000,Weight!$A$2:$A$1000,"&gt;0")),Weight!$A$2:$A$1000,0)),Settings!$B$6))</f>
        <v/>
      </c>
      <c r="I708" s="21">
        <f>IF(B708="","",IFERROR(INDEX(Settings!$B$10:$B$21,MATCH(B708,Settings!$A$10:$A$21,0)),4))</f>
        <v/>
      </c>
      <c r="J708" s="22">
        <f>IF(OR(A708="",C708="",I708=""),"",I708*H708*C708/60)</f>
        <v/>
      </c>
    </row>
    <row r="709">
      <c r="A709" s="35" t="n"/>
      <c r="B709" s="33" t="n"/>
      <c r="C709" s="31" t="n"/>
      <c r="D709" s="30" t="n"/>
      <c r="E709" s="33" t="n"/>
      <c r="F709" s="20">
        <f>IF(A709="","",WEEKNUM(A709,21))</f>
        <v/>
      </c>
      <c r="G709" s="21">
        <f>IF(OR(C709="",N(D709)=0),"",C709/D709)</f>
        <v/>
      </c>
      <c r="H709" s="21">
        <f>IF(A709="","",IFERROR(INDEX(Weight!$B$2:$B$1000,MATCH(IF(_xlfn.MAXIFS(Weight!$A$2:$A$1000,Weight!$A$2:$A$1000,"&lt;="&amp;A709)&gt;0,_xlfn.MAXIFS(Weight!$A$2:$A$1000,Weight!$A$2:$A$1000,"&lt;="&amp;A709),_xlfn.MINIFS(Weight!$A$2:$A$1000,Weight!$A$2:$A$1000,"&gt;0")),Weight!$A$2:$A$1000,0)),Settings!$B$6))</f>
        <v/>
      </c>
      <c r="I709" s="21">
        <f>IF(B709="","",IFERROR(INDEX(Settings!$B$10:$B$21,MATCH(B709,Settings!$A$10:$A$21,0)),4))</f>
        <v/>
      </c>
      <c r="J709" s="22">
        <f>IF(OR(A709="",C709="",I709=""),"",I709*H709*C709/60)</f>
        <v/>
      </c>
    </row>
    <row r="710">
      <c r="A710" s="35" t="n"/>
      <c r="B710" s="33" t="n"/>
      <c r="C710" s="31" t="n"/>
      <c r="D710" s="30" t="n"/>
      <c r="E710" s="33" t="n"/>
      <c r="F710" s="20">
        <f>IF(A710="","",WEEKNUM(A710,21))</f>
        <v/>
      </c>
      <c r="G710" s="21">
        <f>IF(OR(C710="",N(D710)=0),"",C710/D710)</f>
        <v/>
      </c>
      <c r="H710" s="21">
        <f>IF(A710="","",IFERROR(INDEX(Weight!$B$2:$B$1000,MATCH(IF(_xlfn.MAXIFS(Weight!$A$2:$A$1000,Weight!$A$2:$A$1000,"&lt;="&amp;A710)&gt;0,_xlfn.MAXIFS(Weight!$A$2:$A$1000,Weight!$A$2:$A$1000,"&lt;="&amp;A710),_xlfn.MINIFS(Weight!$A$2:$A$1000,Weight!$A$2:$A$1000,"&gt;0")),Weight!$A$2:$A$1000,0)),Settings!$B$6))</f>
        <v/>
      </c>
      <c r="I710" s="21">
        <f>IF(B710="","",IFERROR(INDEX(Settings!$B$10:$B$21,MATCH(B710,Settings!$A$10:$A$21,0)),4))</f>
        <v/>
      </c>
      <c r="J710" s="22">
        <f>IF(OR(A710="",C710="",I710=""),"",I710*H710*C710/60)</f>
        <v/>
      </c>
    </row>
    <row r="711">
      <c r="A711" s="35" t="n"/>
      <c r="B711" s="33" t="n"/>
      <c r="C711" s="31" t="n"/>
      <c r="D711" s="30" t="n"/>
      <c r="E711" s="33" t="n"/>
      <c r="F711" s="20">
        <f>IF(A711="","",WEEKNUM(A711,21))</f>
        <v/>
      </c>
      <c r="G711" s="21">
        <f>IF(OR(C711="",N(D711)=0),"",C711/D711)</f>
        <v/>
      </c>
      <c r="H711" s="21">
        <f>IF(A711="","",IFERROR(INDEX(Weight!$B$2:$B$1000,MATCH(IF(_xlfn.MAXIFS(Weight!$A$2:$A$1000,Weight!$A$2:$A$1000,"&lt;="&amp;A711)&gt;0,_xlfn.MAXIFS(Weight!$A$2:$A$1000,Weight!$A$2:$A$1000,"&lt;="&amp;A711),_xlfn.MINIFS(Weight!$A$2:$A$1000,Weight!$A$2:$A$1000,"&gt;0")),Weight!$A$2:$A$1000,0)),Settings!$B$6))</f>
        <v/>
      </c>
      <c r="I711" s="21">
        <f>IF(B711="","",IFERROR(INDEX(Settings!$B$10:$B$21,MATCH(B711,Settings!$A$10:$A$21,0)),4))</f>
        <v/>
      </c>
      <c r="J711" s="22">
        <f>IF(OR(A711="",C711="",I711=""),"",I711*H711*C711/60)</f>
        <v/>
      </c>
    </row>
    <row r="712">
      <c r="A712" s="35" t="n"/>
      <c r="B712" s="33" t="n"/>
      <c r="C712" s="31" t="n"/>
      <c r="D712" s="30" t="n"/>
      <c r="E712" s="33" t="n"/>
      <c r="F712" s="20">
        <f>IF(A712="","",WEEKNUM(A712,21))</f>
        <v/>
      </c>
      <c r="G712" s="21">
        <f>IF(OR(C712="",N(D712)=0),"",C712/D712)</f>
        <v/>
      </c>
      <c r="H712" s="21">
        <f>IF(A712="","",IFERROR(INDEX(Weight!$B$2:$B$1000,MATCH(IF(_xlfn.MAXIFS(Weight!$A$2:$A$1000,Weight!$A$2:$A$1000,"&lt;="&amp;A712)&gt;0,_xlfn.MAXIFS(Weight!$A$2:$A$1000,Weight!$A$2:$A$1000,"&lt;="&amp;A712),_xlfn.MINIFS(Weight!$A$2:$A$1000,Weight!$A$2:$A$1000,"&gt;0")),Weight!$A$2:$A$1000,0)),Settings!$B$6))</f>
        <v/>
      </c>
      <c r="I712" s="21">
        <f>IF(B712="","",IFERROR(INDEX(Settings!$B$10:$B$21,MATCH(B712,Settings!$A$10:$A$21,0)),4))</f>
        <v/>
      </c>
      <c r="J712" s="22">
        <f>IF(OR(A712="",C712="",I712=""),"",I712*H712*C712/60)</f>
        <v/>
      </c>
    </row>
    <row r="713">
      <c r="A713" s="35" t="n"/>
      <c r="B713" s="33" t="n"/>
      <c r="C713" s="31" t="n"/>
      <c r="D713" s="30" t="n"/>
      <c r="E713" s="33" t="n"/>
      <c r="F713" s="20">
        <f>IF(A713="","",WEEKNUM(A713,21))</f>
        <v/>
      </c>
      <c r="G713" s="21">
        <f>IF(OR(C713="",N(D713)=0),"",C713/D713)</f>
        <v/>
      </c>
      <c r="H713" s="21">
        <f>IF(A713="","",IFERROR(INDEX(Weight!$B$2:$B$1000,MATCH(IF(_xlfn.MAXIFS(Weight!$A$2:$A$1000,Weight!$A$2:$A$1000,"&lt;="&amp;A713)&gt;0,_xlfn.MAXIFS(Weight!$A$2:$A$1000,Weight!$A$2:$A$1000,"&lt;="&amp;A713),_xlfn.MINIFS(Weight!$A$2:$A$1000,Weight!$A$2:$A$1000,"&gt;0")),Weight!$A$2:$A$1000,0)),Settings!$B$6))</f>
        <v/>
      </c>
      <c r="I713" s="21">
        <f>IF(B713="","",IFERROR(INDEX(Settings!$B$10:$B$21,MATCH(B713,Settings!$A$10:$A$21,0)),4))</f>
        <v/>
      </c>
      <c r="J713" s="22">
        <f>IF(OR(A713="",C713="",I713=""),"",I713*H713*C713/60)</f>
        <v/>
      </c>
    </row>
    <row r="714">
      <c r="A714" s="35" t="n"/>
      <c r="B714" s="33" t="n"/>
      <c r="C714" s="31" t="n"/>
      <c r="D714" s="30" t="n"/>
      <c r="E714" s="33" t="n"/>
      <c r="F714" s="20">
        <f>IF(A714="","",WEEKNUM(A714,21))</f>
        <v/>
      </c>
      <c r="G714" s="21">
        <f>IF(OR(C714="",N(D714)=0),"",C714/D714)</f>
        <v/>
      </c>
      <c r="H714" s="21">
        <f>IF(A714="","",IFERROR(INDEX(Weight!$B$2:$B$1000,MATCH(IF(_xlfn.MAXIFS(Weight!$A$2:$A$1000,Weight!$A$2:$A$1000,"&lt;="&amp;A714)&gt;0,_xlfn.MAXIFS(Weight!$A$2:$A$1000,Weight!$A$2:$A$1000,"&lt;="&amp;A714),_xlfn.MINIFS(Weight!$A$2:$A$1000,Weight!$A$2:$A$1000,"&gt;0")),Weight!$A$2:$A$1000,0)),Settings!$B$6))</f>
        <v/>
      </c>
      <c r="I714" s="21">
        <f>IF(B714="","",IFERROR(INDEX(Settings!$B$10:$B$21,MATCH(B714,Settings!$A$10:$A$21,0)),4))</f>
        <v/>
      </c>
      <c r="J714" s="22">
        <f>IF(OR(A714="",C714="",I714=""),"",I714*H714*C714/60)</f>
        <v/>
      </c>
    </row>
    <row r="715">
      <c r="A715" s="35" t="n"/>
      <c r="B715" s="33" t="n"/>
      <c r="C715" s="31" t="n"/>
      <c r="D715" s="30" t="n"/>
      <c r="E715" s="33" t="n"/>
      <c r="F715" s="20">
        <f>IF(A715="","",WEEKNUM(A715,21))</f>
        <v/>
      </c>
      <c r="G715" s="21">
        <f>IF(OR(C715="",N(D715)=0),"",C715/D715)</f>
        <v/>
      </c>
      <c r="H715" s="21">
        <f>IF(A715="","",IFERROR(INDEX(Weight!$B$2:$B$1000,MATCH(IF(_xlfn.MAXIFS(Weight!$A$2:$A$1000,Weight!$A$2:$A$1000,"&lt;="&amp;A715)&gt;0,_xlfn.MAXIFS(Weight!$A$2:$A$1000,Weight!$A$2:$A$1000,"&lt;="&amp;A715),_xlfn.MINIFS(Weight!$A$2:$A$1000,Weight!$A$2:$A$1000,"&gt;0")),Weight!$A$2:$A$1000,0)),Settings!$B$6))</f>
        <v/>
      </c>
      <c r="I715" s="21">
        <f>IF(B715="","",IFERROR(INDEX(Settings!$B$10:$B$21,MATCH(B715,Settings!$A$10:$A$21,0)),4))</f>
        <v/>
      </c>
      <c r="J715" s="22">
        <f>IF(OR(A715="",C715="",I715=""),"",I715*H715*C715/60)</f>
        <v/>
      </c>
    </row>
    <row r="716">
      <c r="A716" s="35" t="n"/>
      <c r="B716" s="33" t="n"/>
      <c r="C716" s="31" t="n"/>
      <c r="D716" s="30" t="n"/>
      <c r="E716" s="33" t="n"/>
      <c r="F716" s="20">
        <f>IF(A716="","",WEEKNUM(A716,21))</f>
        <v/>
      </c>
      <c r="G716" s="21">
        <f>IF(OR(C716="",N(D716)=0),"",C716/D716)</f>
        <v/>
      </c>
      <c r="H716" s="21">
        <f>IF(A716="","",IFERROR(INDEX(Weight!$B$2:$B$1000,MATCH(IF(_xlfn.MAXIFS(Weight!$A$2:$A$1000,Weight!$A$2:$A$1000,"&lt;="&amp;A716)&gt;0,_xlfn.MAXIFS(Weight!$A$2:$A$1000,Weight!$A$2:$A$1000,"&lt;="&amp;A716),_xlfn.MINIFS(Weight!$A$2:$A$1000,Weight!$A$2:$A$1000,"&gt;0")),Weight!$A$2:$A$1000,0)),Settings!$B$6))</f>
        <v/>
      </c>
      <c r="I716" s="21">
        <f>IF(B716="","",IFERROR(INDEX(Settings!$B$10:$B$21,MATCH(B716,Settings!$A$10:$A$21,0)),4))</f>
        <v/>
      </c>
      <c r="J716" s="22">
        <f>IF(OR(A716="",C716="",I716=""),"",I716*H716*C716/60)</f>
        <v/>
      </c>
    </row>
    <row r="717">
      <c r="A717" s="35" t="n"/>
      <c r="B717" s="33" t="n"/>
      <c r="C717" s="31" t="n"/>
      <c r="D717" s="30" t="n"/>
      <c r="E717" s="33" t="n"/>
      <c r="F717" s="20">
        <f>IF(A717="","",WEEKNUM(A717,21))</f>
        <v/>
      </c>
      <c r="G717" s="21">
        <f>IF(OR(C717="",N(D717)=0),"",C717/D717)</f>
        <v/>
      </c>
      <c r="H717" s="21">
        <f>IF(A717="","",IFERROR(INDEX(Weight!$B$2:$B$1000,MATCH(IF(_xlfn.MAXIFS(Weight!$A$2:$A$1000,Weight!$A$2:$A$1000,"&lt;="&amp;A717)&gt;0,_xlfn.MAXIFS(Weight!$A$2:$A$1000,Weight!$A$2:$A$1000,"&lt;="&amp;A717),_xlfn.MINIFS(Weight!$A$2:$A$1000,Weight!$A$2:$A$1000,"&gt;0")),Weight!$A$2:$A$1000,0)),Settings!$B$6))</f>
        <v/>
      </c>
      <c r="I717" s="21">
        <f>IF(B717="","",IFERROR(INDEX(Settings!$B$10:$B$21,MATCH(B717,Settings!$A$10:$A$21,0)),4))</f>
        <v/>
      </c>
      <c r="J717" s="22">
        <f>IF(OR(A717="",C717="",I717=""),"",I717*H717*C717/60)</f>
        <v/>
      </c>
    </row>
    <row r="718">
      <c r="A718" s="35" t="n"/>
      <c r="B718" s="33" t="n"/>
      <c r="C718" s="31" t="n"/>
      <c r="D718" s="30" t="n"/>
      <c r="E718" s="33" t="n"/>
      <c r="F718" s="20">
        <f>IF(A718="","",WEEKNUM(A718,21))</f>
        <v/>
      </c>
      <c r="G718" s="21">
        <f>IF(OR(C718="",N(D718)=0),"",C718/D718)</f>
        <v/>
      </c>
      <c r="H718" s="21">
        <f>IF(A718="","",IFERROR(INDEX(Weight!$B$2:$B$1000,MATCH(IF(_xlfn.MAXIFS(Weight!$A$2:$A$1000,Weight!$A$2:$A$1000,"&lt;="&amp;A718)&gt;0,_xlfn.MAXIFS(Weight!$A$2:$A$1000,Weight!$A$2:$A$1000,"&lt;="&amp;A718),_xlfn.MINIFS(Weight!$A$2:$A$1000,Weight!$A$2:$A$1000,"&gt;0")),Weight!$A$2:$A$1000,0)),Settings!$B$6))</f>
        <v/>
      </c>
      <c r="I718" s="21">
        <f>IF(B718="","",IFERROR(INDEX(Settings!$B$10:$B$21,MATCH(B718,Settings!$A$10:$A$21,0)),4))</f>
        <v/>
      </c>
      <c r="J718" s="22">
        <f>IF(OR(A718="",C718="",I718=""),"",I718*H718*C718/60)</f>
        <v/>
      </c>
    </row>
    <row r="719">
      <c r="A719" s="35" t="n"/>
      <c r="B719" s="33" t="n"/>
      <c r="C719" s="31" t="n"/>
      <c r="D719" s="30" t="n"/>
      <c r="E719" s="33" t="n"/>
      <c r="F719" s="20">
        <f>IF(A719="","",WEEKNUM(A719,21))</f>
        <v/>
      </c>
      <c r="G719" s="21">
        <f>IF(OR(C719="",N(D719)=0),"",C719/D719)</f>
        <v/>
      </c>
      <c r="H719" s="21">
        <f>IF(A719="","",IFERROR(INDEX(Weight!$B$2:$B$1000,MATCH(IF(_xlfn.MAXIFS(Weight!$A$2:$A$1000,Weight!$A$2:$A$1000,"&lt;="&amp;A719)&gt;0,_xlfn.MAXIFS(Weight!$A$2:$A$1000,Weight!$A$2:$A$1000,"&lt;="&amp;A719),_xlfn.MINIFS(Weight!$A$2:$A$1000,Weight!$A$2:$A$1000,"&gt;0")),Weight!$A$2:$A$1000,0)),Settings!$B$6))</f>
        <v/>
      </c>
      <c r="I719" s="21">
        <f>IF(B719="","",IFERROR(INDEX(Settings!$B$10:$B$21,MATCH(B719,Settings!$A$10:$A$21,0)),4))</f>
        <v/>
      </c>
      <c r="J719" s="22">
        <f>IF(OR(A719="",C719="",I719=""),"",I719*H719*C719/60)</f>
        <v/>
      </c>
    </row>
    <row r="720">
      <c r="A720" s="35" t="n"/>
      <c r="B720" s="33" t="n"/>
      <c r="C720" s="31" t="n"/>
      <c r="D720" s="30" t="n"/>
      <c r="E720" s="33" t="n"/>
      <c r="F720" s="20">
        <f>IF(A720="","",WEEKNUM(A720,21))</f>
        <v/>
      </c>
      <c r="G720" s="21">
        <f>IF(OR(C720="",N(D720)=0),"",C720/D720)</f>
        <v/>
      </c>
      <c r="H720" s="21">
        <f>IF(A720="","",IFERROR(INDEX(Weight!$B$2:$B$1000,MATCH(IF(_xlfn.MAXIFS(Weight!$A$2:$A$1000,Weight!$A$2:$A$1000,"&lt;="&amp;A720)&gt;0,_xlfn.MAXIFS(Weight!$A$2:$A$1000,Weight!$A$2:$A$1000,"&lt;="&amp;A720),_xlfn.MINIFS(Weight!$A$2:$A$1000,Weight!$A$2:$A$1000,"&gt;0")),Weight!$A$2:$A$1000,0)),Settings!$B$6))</f>
        <v/>
      </c>
      <c r="I720" s="21">
        <f>IF(B720="","",IFERROR(INDEX(Settings!$B$10:$B$21,MATCH(B720,Settings!$A$10:$A$21,0)),4))</f>
        <v/>
      </c>
      <c r="J720" s="22">
        <f>IF(OR(A720="",C720="",I720=""),"",I720*H720*C720/60)</f>
        <v/>
      </c>
    </row>
    <row r="721">
      <c r="A721" s="35" t="n"/>
      <c r="B721" s="33" t="n"/>
      <c r="C721" s="31" t="n"/>
      <c r="D721" s="30" t="n"/>
      <c r="E721" s="33" t="n"/>
      <c r="F721" s="20">
        <f>IF(A721="","",WEEKNUM(A721,21))</f>
        <v/>
      </c>
      <c r="G721" s="21">
        <f>IF(OR(C721="",N(D721)=0),"",C721/D721)</f>
        <v/>
      </c>
      <c r="H721" s="21">
        <f>IF(A721="","",IFERROR(INDEX(Weight!$B$2:$B$1000,MATCH(IF(_xlfn.MAXIFS(Weight!$A$2:$A$1000,Weight!$A$2:$A$1000,"&lt;="&amp;A721)&gt;0,_xlfn.MAXIFS(Weight!$A$2:$A$1000,Weight!$A$2:$A$1000,"&lt;="&amp;A721),_xlfn.MINIFS(Weight!$A$2:$A$1000,Weight!$A$2:$A$1000,"&gt;0")),Weight!$A$2:$A$1000,0)),Settings!$B$6))</f>
        <v/>
      </c>
      <c r="I721" s="21">
        <f>IF(B721="","",IFERROR(INDEX(Settings!$B$10:$B$21,MATCH(B721,Settings!$A$10:$A$21,0)),4))</f>
        <v/>
      </c>
      <c r="J721" s="22">
        <f>IF(OR(A721="",C721="",I721=""),"",I721*H721*C721/60)</f>
        <v/>
      </c>
    </row>
    <row r="722">
      <c r="A722" s="35" t="n"/>
      <c r="B722" s="33" t="n"/>
      <c r="C722" s="31" t="n"/>
      <c r="D722" s="30" t="n"/>
      <c r="E722" s="33" t="n"/>
      <c r="F722" s="20">
        <f>IF(A722="","",WEEKNUM(A722,21))</f>
        <v/>
      </c>
      <c r="G722" s="21">
        <f>IF(OR(C722="",N(D722)=0),"",C722/D722)</f>
        <v/>
      </c>
      <c r="H722" s="21">
        <f>IF(A722="","",IFERROR(INDEX(Weight!$B$2:$B$1000,MATCH(IF(_xlfn.MAXIFS(Weight!$A$2:$A$1000,Weight!$A$2:$A$1000,"&lt;="&amp;A722)&gt;0,_xlfn.MAXIFS(Weight!$A$2:$A$1000,Weight!$A$2:$A$1000,"&lt;="&amp;A722),_xlfn.MINIFS(Weight!$A$2:$A$1000,Weight!$A$2:$A$1000,"&gt;0")),Weight!$A$2:$A$1000,0)),Settings!$B$6))</f>
        <v/>
      </c>
      <c r="I722" s="21">
        <f>IF(B722="","",IFERROR(INDEX(Settings!$B$10:$B$21,MATCH(B722,Settings!$A$10:$A$21,0)),4))</f>
        <v/>
      </c>
      <c r="J722" s="22">
        <f>IF(OR(A722="",C722="",I722=""),"",I722*H722*C722/60)</f>
        <v/>
      </c>
    </row>
    <row r="723">
      <c r="A723" s="35" t="n"/>
      <c r="B723" s="33" t="n"/>
      <c r="C723" s="31" t="n"/>
      <c r="D723" s="30" t="n"/>
      <c r="E723" s="33" t="n"/>
      <c r="F723" s="20">
        <f>IF(A723="","",WEEKNUM(A723,21))</f>
        <v/>
      </c>
      <c r="G723" s="21">
        <f>IF(OR(C723="",N(D723)=0),"",C723/D723)</f>
        <v/>
      </c>
      <c r="H723" s="21">
        <f>IF(A723="","",IFERROR(INDEX(Weight!$B$2:$B$1000,MATCH(IF(_xlfn.MAXIFS(Weight!$A$2:$A$1000,Weight!$A$2:$A$1000,"&lt;="&amp;A723)&gt;0,_xlfn.MAXIFS(Weight!$A$2:$A$1000,Weight!$A$2:$A$1000,"&lt;="&amp;A723),_xlfn.MINIFS(Weight!$A$2:$A$1000,Weight!$A$2:$A$1000,"&gt;0")),Weight!$A$2:$A$1000,0)),Settings!$B$6))</f>
        <v/>
      </c>
      <c r="I723" s="21">
        <f>IF(B723="","",IFERROR(INDEX(Settings!$B$10:$B$21,MATCH(B723,Settings!$A$10:$A$21,0)),4))</f>
        <v/>
      </c>
      <c r="J723" s="22">
        <f>IF(OR(A723="",C723="",I723=""),"",I723*H723*C723/60)</f>
        <v/>
      </c>
    </row>
    <row r="724">
      <c r="A724" s="35" t="n"/>
      <c r="B724" s="33" t="n"/>
      <c r="C724" s="31" t="n"/>
      <c r="D724" s="30" t="n"/>
      <c r="E724" s="33" t="n"/>
      <c r="F724" s="20">
        <f>IF(A724="","",WEEKNUM(A724,21))</f>
        <v/>
      </c>
      <c r="G724" s="21">
        <f>IF(OR(C724="",N(D724)=0),"",C724/D724)</f>
        <v/>
      </c>
      <c r="H724" s="21">
        <f>IF(A724="","",IFERROR(INDEX(Weight!$B$2:$B$1000,MATCH(IF(_xlfn.MAXIFS(Weight!$A$2:$A$1000,Weight!$A$2:$A$1000,"&lt;="&amp;A724)&gt;0,_xlfn.MAXIFS(Weight!$A$2:$A$1000,Weight!$A$2:$A$1000,"&lt;="&amp;A724),_xlfn.MINIFS(Weight!$A$2:$A$1000,Weight!$A$2:$A$1000,"&gt;0")),Weight!$A$2:$A$1000,0)),Settings!$B$6))</f>
        <v/>
      </c>
      <c r="I724" s="21">
        <f>IF(B724="","",IFERROR(INDEX(Settings!$B$10:$B$21,MATCH(B724,Settings!$A$10:$A$21,0)),4))</f>
        <v/>
      </c>
      <c r="J724" s="22">
        <f>IF(OR(A724="",C724="",I724=""),"",I724*H724*C724/60)</f>
        <v/>
      </c>
    </row>
    <row r="725">
      <c r="A725" s="35" t="n"/>
      <c r="B725" s="33" t="n"/>
      <c r="C725" s="31" t="n"/>
      <c r="D725" s="30" t="n"/>
      <c r="E725" s="33" t="n"/>
      <c r="F725" s="20">
        <f>IF(A725="","",WEEKNUM(A725,21))</f>
        <v/>
      </c>
      <c r="G725" s="21">
        <f>IF(OR(C725="",N(D725)=0),"",C725/D725)</f>
        <v/>
      </c>
      <c r="H725" s="21">
        <f>IF(A725="","",IFERROR(INDEX(Weight!$B$2:$B$1000,MATCH(IF(_xlfn.MAXIFS(Weight!$A$2:$A$1000,Weight!$A$2:$A$1000,"&lt;="&amp;A725)&gt;0,_xlfn.MAXIFS(Weight!$A$2:$A$1000,Weight!$A$2:$A$1000,"&lt;="&amp;A725),_xlfn.MINIFS(Weight!$A$2:$A$1000,Weight!$A$2:$A$1000,"&gt;0")),Weight!$A$2:$A$1000,0)),Settings!$B$6))</f>
        <v/>
      </c>
      <c r="I725" s="21">
        <f>IF(B725="","",IFERROR(INDEX(Settings!$B$10:$B$21,MATCH(B725,Settings!$A$10:$A$21,0)),4))</f>
        <v/>
      </c>
      <c r="J725" s="22">
        <f>IF(OR(A725="",C725="",I725=""),"",I725*H725*C725/60)</f>
        <v/>
      </c>
    </row>
    <row r="726">
      <c r="A726" s="35" t="n"/>
      <c r="B726" s="33" t="n"/>
      <c r="C726" s="31" t="n"/>
      <c r="D726" s="30" t="n"/>
      <c r="E726" s="33" t="n"/>
      <c r="F726" s="20">
        <f>IF(A726="","",WEEKNUM(A726,21))</f>
        <v/>
      </c>
      <c r="G726" s="21">
        <f>IF(OR(C726="",N(D726)=0),"",C726/D726)</f>
        <v/>
      </c>
      <c r="H726" s="21">
        <f>IF(A726="","",IFERROR(INDEX(Weight!$B$2:$B$1000,MATCH(IF(_xlfn.MAXIFS(Weight!$A$2:$A$1000,Weight!$A$2:$A$1000,"&lt;="&amp;A726)&gt;0,_xlfn.MAXIFS(Weight!$A$2:$A$1000,Weight!$A$2:$A$1000,"&lt;="&amp;A726),_xlfn.MINIFS(Weight!$A$2:$A$1000,Weight!$A$2:$A$1000,"&gt;0")),Weight!$A$2:$A$1000,0)),Settings!$B$6))</f>
        <v/>
      </c>
      <c r="I726" s="21">
        <f>IF(B726="","",IFERROR(INDEX(Settings!$B$10:$B$21,MATCH(B726,Settings!$A$10:$A$21,0)),4))</f>
        <v/>
      </c>
      <c r="J726" s="22">
        <f>IF(OR(A726="",C726="",I726=""),"",I726*H726*C726/60)</f>
        <v/>
      </c>
    </row>
    <row r="727">
      <c r="A727" s="35" t="n"/>
      <c r="B727" s="33" t="n"/>
      <c r="C727" s="31" t="n"/>
      <c r="D727" s="30" t="n"/>
      <c r="E727" s="33" t="n"/>
      <c r="F727" s="20">
        <f>IF(A727="","",WEEKNUM(A727,21))</f>
        <v/>
      </c>
      <c r="G727" s="21">
        <f>IF(OR(C727="",N(D727)=0),"",C727/D727)</f>
        <v/>
      </c>
      <c r="H727" s="21">
        <f>IF(A727="","",IFERROR(INDEX(Weight!$B$2:$B$1000,MATCH(IF(_xlfn.MAXIFS(Weight!$A$2:$A$1000,Weight!$A$2:$A$1000,"&lt;="&amp;A727)&gt;0,_xlfn.MAXIFS(Weight!$A$2:$A$1000,Weight!$A$2:$A$1000,"&lt;="&amp;A727),_xlfn.MINIFS(Weight!$A$2:$A$1000,Weight!$A$2:$A$1000,"&gt;0")),Weight!$A$2:$A$1000,0)),Settings!$B$6))</f>
        <v/>
      </c>
      <c r="I727" s="21">
        <f>IF(B727="","",IFERROR(INDEX(Settings!$B$10:$B$21,MATCH(B727,Settings!$A$10:$A$21,0)),4))</f>
        <v/>
      </c>
      <c r="J727" s="22">
        <f>IF(OR(A727="",C727="",I727=""),"",I727*H727*C727/60)</f>
        <v/>
      </c>
    </row>
    <row r="728">
      <c r="A728" s="35" t="n"/>
      <c r="B728" s="33" t="n"/>
      <c r="C728" s="31" t="n"/>
      <c r="D728" s="30" t="n"/>
      <c r="E728" s="33" t="n"/>
      <c r="F728" s="20">
        <f>IF(A728="","",WEEKNUM(A728,21))</f>
        <v/>
      </c>
      <c r="G728" s="21">
        <f>IF(OR(C728="",N(D728)=0),"",C728/D728)</f>
        <v/>
      </c>
      <c r="H728" s="21">
        <f>IF(A728="","",IFERROR(INDEX(Weight!$B$2:$B$1000,MATCH(IF(_xlfn.MAXIFS(Weight!$A$2:$A$1000,Weight!$A$2:$A$1000,"&lt;="&amp;A728)&gt;0,_xlfn.MAXIFS(Weight!$A$2:$A$1000,Weight!$A$2:$A$1000,"&lt;="&amp;A728),_xlfn.MINIFS(Weight!$A$2:$A$1000,Weight!$A$2:$A$1000,"&gt;0")),Weight!$A$2:$A$1000,0)),Settings!$B$6))</f>
        <v/>
      </c>
      <c r="I728" s="21">
        <f>IF(B728="","",IFERROR(INDEX(Settings!$B$10:$B$21,MATCH(B728,Settings!$A$10:$A$21,0)),4))</f>
        <v/>
      </c>
      <c r="J728" s="22">
        <f>IF(OR(A728="",C728="",I728=""),"",I728*H728*C728/60)</f>
        <v/>
      </c>
    </row>
    <row r="729">
      <c r="A729" s="35" t="n"/>
      <c r="B729" s="33" t="n"/>
      <c r="C729" s="31" t="n"/>
      <c r="D729" s="30" t="n"/>
      <c r="E729" s="33" t="n"/>
      <c r="F729" s="20">
        <f>IF(A729="","",WEEKNUM(A729,21))</f>
        <v/>
      </c>
      <c r="G729" s="21">
        <f>IF(OR(C729="",N(D729)=0),"",C729/D729)</f>
        <v/>
      </c>
      <c r="H729" s="21">
        <f>IF(A729="","",IFERROR(INDEX(Weight!$B$2:$B$1000,MATCH(IF(_xlfn.MAXIFS(Weight!$A$2:$A$1000,Weight!$A$2:$A$1000,"&lt;="&amp;A729)&gt;0,_xlfn.MAXIFS(Weight!$A$2:$A$1000,Weight!$A$2:$A$1000,"&lt;="&amp;A729),_xlfn.MINIFS(Weight!$A$2:$A$1000,Weight!$A$2:$A$1000,"&gt;0")),Weight!$A$2:$A$1000,0)),Settings!$B$6))</f>
        <v/>
      </c>
      <c r="I729" s="21">
        <f>IF(B729="","",IFERROR(INDEX(Settings!$B$10:$B$21,MATCH(B729,Settings!$A$10:$A$21,0)),4))</f>
        <v/>
      </c>
      <c r="J729" s="22">
        <f>IF(OR(A729="",C729="",I729=""),"",I729*H729*C729/60)</f>
        <v/>
      </c>
    </row>
    <row r="730">
      <c r="A730" s="35" t="n"/>
      <c r="B730" s="33" t="n"/>
      <c r="C730" s="31" t="n"/>
      <c r="D730" s="30" t="n"/>
      <c r="E730" s="33" t="n"/>
      <c r="F730" s="20">
        <f>IF(A730="","",WEEKNUM(A730,21))</f>
        <v/>
      </c>
      <c r="G730" s="21">
        <f>IF(OR(C730="",N(D730)=0),"",C730/D730)</f>
        <v/>
      </c>
      <c r="H730" s="21">
        <f>IF(A730="","",IFERROR(INDEX(Weight!$B$2:$B$1000,MATCH(IF(_xlfn.MAXIFS(Weight!$A$2:$A$1000,Weight!$A$2:$A$1000,"&lt;="&amp;A730)&gt;0,_xlfn.MAXIFS(Weight!$A$2:$A$1000,Weight!$A$2:$A$1000,"&lt;="&amp;A730),_xlfn.MINIFS(Weight!$A$2:$A$1000,Weight!$A$2:$A$1000,"&gt;0")),Weight!$A$2:$A$1000,0)),Settings!$B$6))</f>
        <v/>
      </c>
      <c r="I730" s="21">
        <f>IF(B730="","",IFERROR(INDEX(Settings!$B$10:$B$21,MATCH(B730,Settings!$A$10:$A$21,0)),4))</f>
        <v/>
      </c>
      <c r="J730" s="22">
        <f>IF(OR(A730="",C730="",I730=""),"",I730*H730*C730/60)</f>
        <v/>
      </c>
    </row>
    <row r="731">
      <c r="A731" s="35" t="n"/>
      <c r="B731" s="33" t="n"/>
      <c r="C731" s="31" t="n"/>
      <c r="D731" s="30" t="n"/>
      <c r="E731" s="33" t="n"/>
      <c r="F731" s="20">
        <f>IF(A731="","",WEEKNUM(A731,21))</f>
        <v/>
      </c>
      <c r="G731" s="21">
        <f>IF(OR(C731="",N(D731)=0),"",C731/D731)</f>
        <v/>
      </c>
      <c r="H731" s="21">
        <f>IF(A731="","",IFERROR(INDEX(Weight!$B$2:$B$1000,MATCH(IF(_xlfn.MAXIFS(Weight!$A$2:$A$1000,Weight!$A$2:$A$1000,"&lt;="&amp;A731)&gt;0,_xlfn.MAXIFS(Weight!$A$2:$A$1000,Weight!$A$2:$A$1000,"&lt;="&amp;A731),_xlfn.MINIFS(Weight!$A$2:$A$1000,Weight!$A$2:$A$1000,"&gt;0")),Weight!$A$2:$A$1000,0)),Settings!$B$6))</f>
        <v/>
      </c>
      <c r="I731" s="21">
        <f>IF(B731="","",IFERROR(INDEX(Settings!$B$10:$B$21,MATCH(B731,Settings!$A$10:$A$21,0)),4))</f>
        <v/>
      </c>
      <c r="J731" s="22">
        <f>IF(OR(A731="",C731="",I731=""),"",I731*H731*C731/60)</f>
        <v/>
      </c>
    </row>
    <row r="732">
      <c r="A732" s="35" t="n"/>
      <c r="B732" s="33" t="n"/>
      <c r="C732" s="31" t="n"/>
      <c r="D732" s="30" t="n"/>
      <c r="E732" s="33" t="n"/>
      <c r="F732" s="20">
        <f>IF(A732="","",WEEKNUM(A732,21))</f>
        <v/>
      </c>
      <c r="G732" s="21">
        <f>IF(OR(C732="",N(D732)=0),"",C732/D732)</f>
        <v/>
      </c>
      <c r="H732" s="21">
        <f>IF(A732="","",IFERROR(INDEX(Weight!$B$2:$B$1000,MATCH(IF(_xlfn.MAXIFS(Weight!$A$2:$A$1000,Weight!$A$2:$A$1000,"&lt;="&amp;A732)&gt;0,_xlfn.MAXIFS(Weight!$A$2:$A$1000,Weight!$A$2:$A$1000,"&lt;="&amp;A732),_xlfn.MINIFS(Weight!$A$2:$A$1000,Weight!$A$2:$A$1000,"&gt;0")),Weight!$A$2:$A$1000,0)),Settings!$B$6))</f>
        <v/>
      </c>
      <c r="I732" s="21">
        <f>IF(B732="","",IFERROR(INDEX(Settings!$B$10:$B$21,MATCH(B732,Settings!$A$10:$A$21,0)),4))</f>
        <v/>
      </c>
      <c r="J732" s="22">
        <f>IF(OR(A732="",C732="",I732=""),"",I732*H732*C732/60)</f>
        <v/>
      </c>
    </row>
    <row r="733">
      <c r="A733" s="35" t="n"/>
      <c r="B733" s="33" t="n"/>
      <c r="C733" s="31" t="n"/>
      <c r="D733" s="30" t="n"/>
      <c r="E733" s="33" t="n"/>
      <c r="F733" s="20">
        <f>IF(A733="","",WEEKNUM(A733,21))</f>
        <v/>
      </c>
      <c r="G733" s="21">
        <f>IF(OR(C733="",N(D733)=0),"",C733/D733)</f>
        <v/>
      </c>
      <c r="H733" s="21">
        <f>IF(A733="","",IFERROR(INDEX(Weight!$B$2:$B$1000,MATCH(IF(_xlfn.MAXIFS(Weight!$A$2:$A$1000,Weight!$A$2:$A$1000,"&lt;="&amp;A733)&gt;0,_xlfn.MAXIFS(Weight!$A$2:$A$1000,Weight!$A$2:$A$1000,"&lt;="&amp;A733),_xlfn.MINIFS(Weight!$A$2:$A$1000,Weight!$A$2:$A$1000,"&gt;0")),Weight!$A$2:$A$1000,0)),Settings!$B$6))</f>
        <v/>
      </c>
      <c r="I733" s="21">
        <f>IF(B733="","",IFERROR(INDEX(Settings!$B$10:$B$21,MATCH(B733,Settings!$A$10:$A$21,0)),4))</f>
        <v/>
      </c>
      <c r="J733" s="22">
        <f>IF(OR(A733="",C733="",I733=""),"",I733*H733*C733/60)</f>
        <v/>
      </c>
    </row>
    <row r="734">
      <c r="A734" s="35" t="n"/>
      <c r="B734" s="33" t="n"/>
      <c r="C734" s="31" t="n"/>
      <c r="D734" s="30" t="n"/>
      <c r="E734" s="33" t="n"/>
      <c r="F734" s="20">
        <f>IF(A734="","",WEEKNUM(A734,21))</f>
        <v/>
      </c>
      <c r="G734" s="21">
        <f>IF(OR(C734="",N(D734)=0),"",C734/D734)</f>
        <v/>
      </c>
      <c r="H734" s="21">
        <f>IF(A734="","",IFERROR(INDEX(Weight!$B$2:$B$1000,MATCH(IF(_xlfn.MAXIFS(Weight!$A$2:$A$1000,Weight!$A$2:$A$1000,"&lt;="&amp;A734)&gt;0,_xlfn.MAXIFS(Weight!$A$2:$A$1000,Weight!$A$2:$A$1000,"&lt;="&amp;A734),_xlfn.MINIFS(Weight!$A$2:$A$1000,Weight!$A$2:$A$1000,"&gt;0")),Weight!$A$2:$A$1000,0)),Settings!$B$6))</f>
        <v/>
      </c>
      <c r="I734" s="21">
        <f>IF(B734="","",IFERROR(INDEX(Settings!$B$10:$B$21,MATCH(B734,Settings!$A$10:$A$21,0)),4))</f>
        <v/>
      </c>
      <c r="J734" s="22">
        <f>IF(OR(A734="",C734="",I734=""),"",I734*H734*C734/60)</f>
        <v/>
      </c>
    </row>
    <row r="735">
      <c r="A735" s="35" t="n"/>
      <c r="B735" s="33" t="n"/>
      <c r="C735" s="31" t="n"/>
      <c r="D735" s="30" t="n"/>
      <c r="E735" s="33" t="n"/>
      <c r="F735" s="20">
        <f>IF(A735="","",WEEKNUM(A735,21))</f>
        <v/>
      </c>
      <c r="G735" s="21">
        <f>IF(OR(C735="",N(D735)=0),"",C735/D735)</f>
        <v/>
      </c>
      <c r="H735" s="21">
        <f>IF(A735="","",IFERROR(INDEX(Weight!$B$2:$B$1000,MATCH(IF(_xlfn.MAXIFS(Weight!$A$2:$A$1000,Weight!$A$2:$A$1000,"&lt;="&amp;A735)&gt;0,_xlfn.MAXIFS(Weight!$A$2:$A$1000,Weight!$A$2:$A$1000,"&lt;="&amp;A735),_xlfn.MINIFS(Weight!$A$2:$A$1000,Weight!$A$2:$A$1000,"&gt;0")),Weight!$A$2:$A$1000,0)),Settings!$B$6))</f>
        <v/>
      </c>
      <c r="I735" s="21">
        <f>IF(B735="","",IFERROR(INDEX(Settings!$B$10:$B$21,MATCH(B735,Settings!$A$10:$A$21,0)),4))</f>
        <v/>
      </c>
      <c r="J735" s="22">
        <f>IF(OR(A735="",C735="",I735=""),"",I735*H735*C735/60)</f>
        <v/>
      </c>
    </row>
    <row r="736">
      <c r="A736" s="35" t="n"/>
      <c r="B736" s="33" t="n"/>
      <c r="C736" s="31" t="n"/>
      <c r="D736" s="30" t="n"/>
      <c r="E736" s="33" t="n"/>
      <c r="F736" s="20">
        <f>IF(A736="","",WEEKNUM(A736,21))</f>
        <v/>
      </c>
      <c r="G736" s="21">
        <f>IF(OR(C736="",N(D736)=0),"",C736/D736)</f>
        <v/>
      </c>
      <c r="H736" s="21">
        <f>IF(A736="","",IFERROR(INDEX(Weight!$B$2:$B$1000,MATCH(IF(_xlfn.MAXIFS(Weight!$A$2:$A$1000,Weight!$A$2:$A$1000,"&lt;="&amp;A736)&gt;0,_xlfn.MAXIFS(Weight!$A$2:$A$1000,Weight!$A$2:$A$1000,"&lt;="&amp;A736),_xlfn.MINIFS(Weight!$A$2:$A$1000,Weight!$A$2:$A$1000,"&gt;0")),Weight!$A$2:$A$1000,0)),Settings!$B$6))</f>
        <v/>
      </c>
      <c r="I736" s="21">
        <f>IF(B736="","",IFERROR(INDEX(Settings!$B$10:$B$21,MATCH(B736,Settings!$A$10:$A$21,0)),4))</f>
        <v/>
      </c>
      <c r="J736" s="22">
        <f>IF(OR(A736="",C736="",I736=""),"",I736*H736*C736/60)</f>
        <v/>
      </c>
    </row>
    <row r="737">
      <c r="A737" s="35" t="n"/>
      <c r="B737" s="33" t="n"/>
      <c r="C737" s="31" t="n"/>
      <c r="D737" s="30" t="n"/>
      <c r="E737" s="33" t="n"/>
      <c r="F737" s="20">
        <f>IF(A737="","",WEEKNUM(A737,21))</f>
        <v/>
      </c>
      <c r="G737" s="21">
        <f>IF(OR(C737="",N(D737)=0),"",C737/D737)</f>
        <v/>
      </c>
      <c r="H737" s="21">
        <f>IF(A737="","",IFERROR(INDEX(Weight!$B$2:$B$1000,MATCH(IF(_xlfn.MAXIFS(Weight!$A$2:$A$1000,Weight!$A$2:$A$1000,"&lt;="&amp;A737)&gt;0,_xlfn.MAXIFS(Weight!$A$2:$A$1000,Weight!$A$2:$A$1000,"&lt;="&amp;A737),_xlfn.MINIFS(Weight!$A$2:$A$1000,Weight!$A$2:$A$1000,"&gt;0")),Weight!$A$2:$A$1000,0)),Settings!$B$6))</f>
        <v/>
      </c>
      <c r="I737" s="21">
        <f>IF(B737="","",IFERROR(INDEX(Settings!$B$10:$B$21,MATCH(B737,Settings!$A$10:$A$21,0)),4))</f>
        <v/>
      </c>
      <c r="J737" s="22">
        <f>IF(OR(A737="",C737="",I737=""),"",I737*H737*C737/60)</f>
        <v/>
      </c>
    </row>
    <row r="738">
      <c r="A738" s="35" t="n"/>
      <c r="B738" s="33" t="n"/>
      <c r="C738" s="31" t="n"/>
      <c r="D738" s="30" t="n"/>
      <c r="E738" s="33" t="n"/>
      <c r="F738" s="20">
        <f>IF(A738="","",WEEKNUM(A738,21))</f>
        <v/>
      </c>
      <c r="G738" s="21">
        <f>IF(OR(C738="",N(D738)=0),"",C738/D738)</f>
        <v/>
      </c>
      <c r="H738" s="21">
        <f>IF(A738="","",IFERROR(INDEX(Weight!$B$2:$B$1000,MATCH(IF(_xlfn.MAXIFS(Weight!$A$2:$A$1000,Weight!$A$2:$A$1000,"&lt;="&amp;A738)&gt;0,_xlfn.MAXIFS(Weight!$A$2:$A$1000,Weight!$A$2:$A$1000,"&lt;="&amp;A738),_xlfn.MINIFS(Weight!$A$2:$A$1000,Weight!$A$2:$A$1000,"&gt;0")),Weight!$A$2:$A$1000,0)),Settings!$B$6))</f>
        <v/>
      </c>
      <c r="I738" s="21">
        <f>IF(B738="","",IFERROR(INDEX(Settings!$B$10:$B$21,MATCH(B738,Settings!$A$10:$A$21,0)),4))</f>
        <v/>
      </c>
      <c r="J738" s="22">
        <f>IF(OR(A738="",C738="",I738=""),"",I738*H738*C738/60)</f>
        <v/>
      </c>
    </row>
    <row r="739">
      <c r="A739" s="35" t="n"/>
      <c r="B739" s="33" t="n"/>
      <c r="C739" s="31" t="n"/>
      <c r="D739" s="30" t="n"/>
      <c r="E739" s="33" t="n"/>
      <c r="F739" s="20">
        <f>IF(A739="","",WEEKNUM(A739,21))</f>
        <v/>
      </c>
      <c r="G739" s="21">
        <f>IF(OR(C739="",N(D739)=0),"",C739/D739)</f>
        <v/>
      </c>
      <c r="H739" s="21">
        <f>IF(A739="","",IFERROR(INDEX(Weight!$B$2:$B$1000,MATCH(IF(_xlfn.MAXIFS(Weight!$A$2:$A$1000,Weight!$A$2:$A$1000,"&lt;="&amp;A739)&gt;0,_xlfn.MAXIFS(Weight!$A$2:$A$1000,Weight!$A$2:$A$1000,"&lt;="&amp;A739),_xlfn.MINIFS(Weight!$A$2:$A$1000,Weight!$A$2:$A$1000,"&gt;0")),Weight!$A$2:$A$1000,0)),Settings!$B$6))</f>
        <v/>
      </c>
      <c r="I739" s="21">
        <f>IF(B739="","",IFERROR(INDEX(Settings!$B$10:$B$21,MATCH(B739,Settings!$A$10:$A$21,0)),4))</f>
        <v/>
      </c>
      <c r="J739" s="22">
        <f>IF(OR(A739="",C739="",I739=""),"",I739*H739*C739/60)</f>
        <v/>
      </c>
    </row>
    <row r="740">
      <c r="A740" s="35" t="n"/>
      <c r="B740" s="33" t="n"/>
      <c r="C740" s="31" t="n"/>
      <c r="D740" s="30" t="n"/>
      <c r="E740" s="33" t="n"/>
      <c r="F740" s="20">
        <f>IF(A740="","",WEEKNUM(A740,21))</f>
        <v/>
      </c>
      <c r="G740" s="21">
        <f>IF(OR(C740="",N(D740)=0),"",C740/D740)</f>
        <v/>
      </c>
      <c r="H740" s="21">
        <f>IF(A740="","",IFERROR(INDEX(Weight!$B$2:$B$1000,MATCH(IF(_xlfn.MAXIFS(Weight!$A$2:$A$1000,Weight!$A$2:$A$1000,"&lt;="&amp;A740)&gt;0,_xlfn.MAXIFS(Weight!$A$2:$A$1000,Weight!$A$2:$A$1000,"&lt;="&amp;A740),_xlfn.MINIFS(Weight!$A$2:$A$1000,Weight!$A$2:$A$1000,"&gt;0")),Weight!$A$2:$A$1000,0)),Settings!$B$6))</f>
        <v/>
      </c>
      <c r="I740" s="21">
        <f>IF(B740="","",IFERROR(INDEX(Settings!$B$10:$B$21,MATCH(B740,Settings!$A$10:$A$21,0)),4))</f>
        <v/>
      </c>
      <c r="J740" s="22">
        <f>IF(OR(A740="",C740="",I740=""),"",I740*H740*C740/60)</f>
        <v/>
      </c>
    </row>
    <row r="741">
      <c r="A741" s="35" t="n"/>
      <c r="B741" s="33" t="n"/>
      <c r="C741" s="31" t="n"/>
      <c r="D741" s="30" t="n"/>
      <c r="E741" s="33" t="n"/>
      <c r="F741" s="20">
        <f>IF(A741="","",WEEKNUM(A741,21))</f>
        <v/>
      </c>
      <c r="G741" s="21">
        <f>IF(OR(C741="",N(D741)=0),"",C741/D741)</f>
        <v/>
      </c>
      <c r="H741" s="21">
        <f>IF(A741="","",IFERROR(INDEX(Weight!$B$2:$B$1000,MATCH(IF(_xlfn.MAXIFS(Weight!$A$2:$A$1000,Weight!$A$2:$A$1000,"&lt;="&amp;A741)&gt;0,_xlfn.MAXIFS(Weight!$A$2:$A$1000,Weight!$A$2:$A$1000,"&lt;="&amp;A741),_xlfn.MINIFS(Weight!$A$2:$A$1000,Weight!$A$2:$A$1000,"&gt;0")),Weight!$A$2:$A$1000,0)),Settings!$B$6))</f>
        <v/>
      </c>
      <c r="I741" s="21">
        <f>IF(B741="","",IFERROR(INDEX(Settings!$B$10:$B$21,MATCH(B741,Settings!$A$10:$A$21,0)),4))</f>
        <v/>
      </c>
      <c r="J741" s="22">
        <f>IF(OR(A741="",C741="",I741=""),"",I741*H741*C741/60)</f>
        <v/>
      </c>
    </row>
    <row r="742">
      <c r="A742" s="35" t="n"/>
      <c r="B742" s="33" t="n"/>
      <c r="C742" s="31" t="n"/>
      <c r="D742" s="30" t="n"/>
      <c r="E742" s="33" t="n"/>
      <c r="F742" s="20">
        <f>IF(A742="","",WEEKNUM(A742,21))</f>
        <v/>
      </c>
      <c r="G742" s="21">
        <f>IF(OR(C742="",N(D742)=0),"",C742/D742)</f>
        <v/>
      </c>
      <c r="H742" s="21">
        <f>IF(A742="","",IFERROR(INDEX(Weight!$B$2:$B$1000,MATCH(IF(_xlfn.MAXIFS(Weight!$A$2:$A$1000,Weight!$A$2:$A$1000,"&lt;="&amp;A742)&gt;0,_xlfn.MAXIFS(Weight!$A$2:$A$1000,Weight!$A$2:$A$1000,"&lt;="&amp;A742),_xlfn.MINIFS(Weight!$A$2:$A$1000,Weight!$A$2:$A$1000,"&gt;0")),Weight!$A$2:$A$1000,0)),Settings!$B$6))</f>
        <v/>
      </c>
      <c r="I742" s="21">
        <f>IF(B742="","",IFERROR(INDEX(Settings!$B$10:$B$21,MATCH(B742,Settings!$A$10:$A$21,0)),4))</f>
        <v/>
      </c>
      <c r="J742" s="22">
        <f>IF(OR(A742="",C742="",I742=""),"",I742*H742*C742/60)</f>
        <v/>
      </c>
    </row>
    <row r="743">
      <c r="A743" s="35" t="n"/>
      <c r="B743" s="33" t="n"/>
      <c r="C743" s="31" t="n"/>
      <c r="D743" s="30" t="n"/>
      <c r="E743" s="33" t="n"/>
      <c r="F743" s="20">
        <f>IF(A743="","",WEEKNUM(A743,21))</f>
        <v/>
      </c>
      <c r="G743" s="21">
        <f>IF(OR(C743="",N(D743)=0),"",C743/D743)</f>
        <v/>
      </c>
      <c r="H743" s="21">
        <f>IF(A743="","",IFERROR(INDEX(Weight!$B$2:$B$1000,MATCH(IF(_xlfn.MAXIFS(Weight!$A$2:$A$1000,Weight!$A$2:$A$1000,"&lt;="&amp;A743)&gt;0,_xlfn.MAXIFS(Weight!$A$2:$A$1000,Weight!$A$2:$A$1000,"&lt;="&amp;A743),_xlfn.MINIFS(Weight!$A$2:$A$1000,Weight!$A$2:$A$1000,"&gt;0")),Weight!$A$2:$A$1000,0)),Settings!$B$6))</f>
        <v/>
      </c>
      <c r="I743" s="21">
        <f>IF(B743="","",IFERROR(INDEX(Settings!$B$10:$B$21,MATCH(B743,Settings!$A$10:$A$21,0)),4))</f>
        <v/>
      </c>
      <c r="J743" s="22">
        <f>IF(OR(A743="",C743="",I743=""),"",I743*H743*C743/60)</f>
        <v/>
      </c>
    </row>
    <row r="744">
      <c r="A744" s="35" t="n"/>
      <c r="B744" s="33" t="n"/>
      <c r="C744" s="31" t="n"/>
      <c r="D744" s="30" t="n"/>
      <c r="E744" s="33" t="n"/>
      <c r="F744" s="20">
        <f>IF(A744="","",WEEKNUM(A744,21))</f>
        <v/>
      </c>
      <c r="G744" s="21">
        <f>IF(OR(C744="",N(D744)=0),"",C744/D744)</f>
        <v/>
      </c>
      <c r="H744" s="21">
        <f>IF(A744="","",IFERROR(INDEX(Weight!$B$2:$B$1000,MATCH(IF(_xlfn.MAXIFS(Weight!$A$2:$A$1000,Weight!$A$2:$A$1000,"&lt;="&amp;A744)&gt;0,_xlfn.MAXIFS(Weight!$A$2:$A$1000,Weight!$A$2:$A$1000,"&lt;="&amp;A744),_xlfn.MINIFS(Weight!$A$2:$A$1000,Weight!$A$2:$A$1000,"&gt;0")),Weight!$A$2:$A$1000,0)),Settings!$B$6))</f>
        <v/>
      </c>
      <c r="I744" s="21">
        <f>IF(B744="","",IFERROR(INDEX(Settings!$B$10:$B$21,MATCH(B744,Settings!$A$10:$A$21,0)),4))</f>
        <v/>
      </c>
      <c r="J744" s="22">
        <f>IF(OR(A744="",C744="",I744=""),"",I744*H744*C744/60)</f>
        <v/>
      </c>
    </row>
    <row r="745">
      <c r="A745" s="35" t="n"/>
      <c r="B745" s="33" t="n"/>
      <c r="C745" s="31" t="n"/>
      <c r="D745" s="30" t="n"/>
      <c r="E745" s="33" t="n"/>
      <c r="F745" s="20">
        <f>IF(A745="","",WEEKNUM(A745,21))</f>
        <v/>
      </c>
      <c r="G745" s="21">
        <f>IF(OR(C745="",N(D745)=0),"",C745/D745)</f>
        <v/>
      </c>
      <c r="H745" s="21">
        <f>IF(A745="","",IFERROR(INDEX(Weight!$B$2:$B$1000,MATCH(IF(_xlfn.MAXIFS(Weight!$A$2:$A$1000,Weight!$A$2:$A$1000,"&lt;="&amp;A745)&gt;0,_xlfn.MAXIFS(Weight!$A$2:$A$1000,Weight!$A$2:$A$1000,"&lt;="&amp;A745),_xlfn.MINIFS(Weight!$A$2:$A$1000,Weight!$A$2:$A$1000,"&gt;0")),Weight!$A$2:$A$1000,0)),Settings!$B$6))</f>
        <v/>
      </c>
      <c r="I745" s="21">
        <f>IF(B745="","",IFERROR(INDEX(Settings!$B$10:$B$21,MATCH(B745,Settings!$A$10:$A$21,0)),4))</f>
        <v/>
      </c>
      <c r="J745" s="22">
        <f>IF(OR(A745="",C745="",I745=""),"",I745*H745*C745/60)</f>
        <v/>
      </c>
    </row>
    <row r="746">
      <c r="A746" s="35" t="n"/>
      <c r="B746" s="33" t="n"/>
      <c r="C746" s="31" t="n"/>
      <c r="D746" s="30" t="n"/>
      <c r="E746" s="33" t="n"/>
      <c r="F746" s="20">
        <f>IF(A746="","",WEEKNUM(A746,21))</f>
        <v/>
      </c>
      <c r="G746" s="21">
        <f>IF(OR(C746="",N(D746)=0),"",C746/D746)</f>
        <v/>
      </c>
      <c r="H746" s="21">
        <f>IF(A746="","",IFERROR(INDEX(Weight!$B$2:$B$1000,MATCH(IF(_xlfn.MAXIFS(Weight!$A$2:$A$1000,Weight!$A$2:$A$1000,"&lt;="&amp;A746)&gt;0,_xlfn.MAXIFS(Weight!$A$2:$A$1000,Weight!$A$2:$A$1000,"&lt;="&amp;A746),_xlfn.MINIFS(Weight!$A$2:$A$1000,Weight!$A$2:$A$1000,"&gt;0")),Weight!$A$2:$A$1000,0)),Settings!$B$6))</f>
        <v/>
      </c>
      <c r="I746" s="21">
        <f>IF(B746="","",IFERROR(INDEX(Settings!$B$10:$B$21,MATCH(B746,Settings!$A$10:$A$21,0)),4))</f>
        <v/>
      </c>
      <c r="J746" s="22">
        <f>IF(OR(A746="",C746="",I746=""),"",I746*H746*C746/60)</f>
        <v/>
      </c>
    </row>
    <row r="747">
      <c r="A747" s="35" t="n"/>
      <c r="B747" s="33" t="n"/>
      <c r="C747" s="31" t="n"/>
      <c r="D747" s="30" t="n"/>
      <c r="E747" s="33" t="n"/>
      <c r="F747" s="20">
        <f>IF(A747="","",WEEKNUM(A747,21))</f>
        <v/>
      </c>
      <c r="G747" s="21">
        <f>IF(OR(C747="",N(D747)=0),"",C747/D747)</f>
        <v/>
      </c>
      <c r="H747" s="21">
        <f>IF(A747="","",IFERROR(INDEX(Weight!$B$2:$B$1000,MATCH(IF(_xlfn.MAXIFS(Weight!$A$2:$A$1000,Weight!$A$2:$A$1000,"&lt;="&amp;A747)&gt;0,_xlfn.MAXIFS(Weight!$A$2:$A$1000,Weight!$A$2:$A$1000,"&lt;="&amp;A747),_xlfn.MINIFS(Weight!$A$2:$A$1000,Weight!$A$2:$A$1000,"&gt;0")),Weight!$A$2:$A$1000,0)),Settings!$B$6))</f>
        <v/>
      </c>
      <c r="I747" s="21">
        <f>IF(B747="","",IFERROR(INDEX(Settings!$B$10:$B$21,MATCH(B747,Settings!$A$10:$A$21,0)),4))</f>
        <v/>
      </c>
      <c r="J747" s="22">
        <f>IF(OR(A747="",C747="",I747=""),"",I747*H747*C747/60)</f>
        <v/>
      </c>
    </row>
    <row r="748">
      <c r="A748" s="35" t="n"/>
      <c r="B748" s="33" t="n"/>
      <c r="C748" s="31" t="n"/>
      <c r="D748" s="30" t="n"/>
      <c r="E748" s="33" t="n"/>
      <c r="F748" s="20">
        <f>IF(A748="","",WEEKNUM(A748,21))</f>
        <v/>
      </c>
      <c r="G748" s="21">
        <f>IF(OR(C748="",N(D748)=0),"",C748/D748)</f>
        <v/>
      </c>
      <c r="H748" s="21">
        <f>IF(A748="","",IFERROR(INDEX(Weight!$B$2:$B$1000,MATCH(IF(_xlfn.MAXIFS(Weight!$A$2:$A$1000,Weight!$A$2:$A$1000,"&lt;="&amp;A748)&gt;0,_xlfn.MAXIFS(Weight!$A$2:$A$1000,Weight!$A$2:$A$1000,"&lt;="&amp;A748),_xlfn.MINIFS(Weight!$A$2:$A$1000,Weight!$A$2:$A$1000,"&gt;0")),Weight!$A$2:$A$1000,0)),Settings!$B$6))</f>
        <v/>
      </c>
      <c r="I748" s="21">
        <f>IF(B748="","",IFERROR(INDEX(Settings!$B$10:$B$21,MATCH(B748,Settings!$A$10:$A$21,0)),4))</f>
        <v/>
      </c>
      <c r="J748" s="22">
        <f>IF(OR(A748="",C748="",I748=""),"",I748*H748*C748/60)</f>
        <v/>
      </c>
    </row>
    <row r="749">
      <c r="A749" s="35" t="n"/>
      <c r="B749" s="33" t="n"/>
      <c r="C749" s="31" t="n"/>
      <c r="D749" s="30" t="n"/>
      <c r="E749" s="33" t="n"/>
      <c r="F749" s="20">
        <f>IF(A749="","",WEEKNUM(A749,21))</f>
        <v/>
      </c>
      <c r="G749" s="21">
        <f>IF(OR(C749="",N(D749)=0),"",C749/D749)</f>
        <v/>
      </c>
      <c r="H749" s="21">
        <f>IF(A749="","",IFERROR(INDEX(Weight!$B$2:$B$1000,MATCH(IF(_xlfn.MAXIFS(Weight!$A$2:$A$1000,Weight!$A$2:$A$1000,"&lt;="&amp;A749)&gt;0,_xlfn.MAXIFS(Weight!$A$2:$A$1000,Weight!$A$2:$A$1000,"&lt;="&amp;A749),_xlfn.MINIFS(Weight!$A$2:$A$1000,Weight!$A$2:$A$1000,"&gt;0")),Weight!$A$2:$A$1000,0)),Settings!$B$6))</f>
        <v/>
      </c>
      <c r="I749" s="21">
        <f>IF(B749="","",IFERROR(INDEX(Settings!$B$10:$B$21,MATCH(B749,Settings!$A$10:$A$21,0)),4))</f>
        <v/>
      </c>
      <c r="J749" s="22">
        <f>IF(OR(A749="",C749="",I749=""),"",I749*H749*C749/60)</f>
        <v/>
      </c>
    </row>
    <row r="750">
      <c r="A750" s="35" t="n"/>
      <c r="B750" s="33" t="n"/>
      <c r="C750" s="31" t="n"/>
      <c r="D750" s="30" t="n"/>
      <c r="E750" s="33" t="n"/>
      <c r="F750" s="20">
        <f>IF(A750="","",WEEKNUM(A750,21))</f>
        <v/>
      </c>
      <c r="G750" s="21">
        <f>IF(OR(C750="",N(D750)=0),"",C750/D750)</f>
        <v/>
      </c>
      <c r="H750" s="21">
        <f>IF(A750="","",IFERROR(INDEX(Weight!$B$2:$B$1000,MATCH(IF(_xlfn.MAXIFS(Weight!$A$2:$A$1000,Weight!$A$2:$A$1000,"&lt;="&amp;A750)&gt;0,_xlfn.MAXIFS(Weight!$A$2:$A$1000,Weight!$A$2:$A$1000,"&lt;="&amp;A750),_xlfn.MINIFS(Weight!$A$2:$A$1000,Weight!$A$2:$A$1000,"&gt;0")),Weight!$A$2:$A$1000,0)),Settings!$B$6))</f>
        <v/>
      </c>
      <c r="I750" s="21">
        <f>IF(B750="","",IFERROR(INDEX(Settings!$B$10:$B$21,MATCH(B750,Settings!$A$10:$A$21,0)),4))</f>
        <v/>
      </c>
      <c r="J750" s="22">
        <f>IF(OR(A750="",C750="",I750=""),"",I750*H750*C750/60)</f>
        <v/>
      </c>
    </row>
    <row r="751">
      <c r="A751" s="35" t="n"/>
      <c r="B751" s="33" t="n"/>
      <c r="C751" s="31" t="n"/>
      <c r="D751" s="30" t="n"/>
      <c r="E751" s="33" t="n"/>
      <c r="F751" s="20">
        <f>IF(A751="","",WEEKNUM(A751,21))</f>
        <v/>
      </c>
      <c r="G751" s="21">
        <f>IF(OR(C751="",N(D751)=0),"",C751/D751)</f>
        <v/>
      </c>
      <c r="H751" s="21">
        <f>IF(A751="","",IFERROR(INDEX(Weight!$B$2:$B$1000,MATCH(IF(_xlfn.MAXIFS(Weight!$A$2:$A$1000,Weight!$A$2:$A$1000,"&lt;="&amp;A751)&gt;0,_xlfn.MAXIFS(Weight!$A$2:$A$1000,Weight!$A$2:$A$1000,"&lt;="&amp;A751),_xlfn.MINIFS(Weight!$A$2:$A$1000,Weight!$A$2:$A$1000,"&gt;0")),Weight!$A$2:$A$1000,0)),Settings!$B$6))</f>
        <v/>
      </c>
      <c r="I751" s="21">
        <f>IF(B751="","",IFERROR(INDEX(Settings!$B$10:$B$21,MATCH(B751,Settings!$A$10:$A$21,0)),4))</f>
        <v/>
      </c>
      <c r="J751" s="22">
        <f>IF(OR(A751="",C751="",I751=""),"",I751*H751*C751/60)</f>
        <v/>
      </c>
    </row>
    <row r="752">
      <c r="A752" s="35" t="n"/>
      <c r="B752" s="33" t="n"/>
      <c r="C752" s="31" t="n"/>
      <c r="D752" s="30" t="n"/>
      <c r="E752" s="33" t="n"/>
      <c r="F752" s="20">
        <f>IF(A752="","",WEEKNUM(A752,21))</f>
        <v/>
      </c>
      <c r="G752" s="21">
        <f>IF(OR(C752="",N(D752)=0),"",C752/D752)</f>
        <v/>
      </c>
      <c r="H752" s="21">
        <f>IF(A752="","",IFERROR(INDEX(Weight!$B$2:$B$1000,MATCH(IF(_xlfn.MAXIFS(Weight!$A$2:$A$1000,Weight!$A$2:$A$1000,"&lt;="&amp;A752)&gt;0,_xlfn.MAXIFS(Weight!$A$2:$A$1000,Weight!$A$2:$A$1000,"&lt;="&amp;A752),_xlfn.MINIFS(Weight!$A$2:$A$1000,Weight!$A$2:$A$1000,"&gt;0")),Weight!$A$2:$A$1000,0)),Settings!$B$6))</f>
        <v/>
      </c>
      <c r="I752" s="21">
        <f>IF(B752="","",IFERROR(INDEX(Settings!$B$10:$B$21,MATCH(B752,Settings!$A$10:$A$21,0)),4))</f>
        <v/>
      </c>
      <c r="J752" s="22">
        <f>IF(OR(A752="",C752="",I752=""),"",I752*H752*C752/60)</f>
        <v/>
      </c>
    </row>
    <row r="753">
      <c r="A753" s="35" t="n"/>
      <c r="B753" s="33" t="n"/>
      <c r="C753" s="31" t="n"/>
      <c r="D753" s="30" t="n"/>
      <c r="E753" s="33" t="n"/>
      <c r="F753" s="20">
        <f>IF(A753="","",WEEKNUM(A753,21))</f>
        <v/>
      </c>
      <c r="G753" s="21">
        <f>IF(OR(C753="",N(D753)=0),"",C753/D753)</f>
        <v/>
      </c>
      <c r="H753" s="21">
        <f>IF(A753="","",IFERROR(INDEX(Weight!$B$2:$B$1000,MATCH(IF(_xlfn.MAXIFS(Weight!$A$2:$A$1000,Weight!$A$2:$A$1000,"&lt;="&amp;A753)&gt;0,_xlfn.MAXIFS(Weight!$A$2:$A$1000,Weight!$A$2:$A$1000,"&lt;="&amp;A753),_xlfn.MINIFS(Weight!$A$2:$A$1000,Weight!$A$2:$A$1000,"&gt;0")),Weight!$A$2:$A$1000,0)),Settings!$B$6))</f>
        <v/>
      </c>
      <c r="I753" s="21">
        <f>IF(B753="","",IFERROR(INDEX(Settings!$B$10:$B$21,MATCH(B753,Settings!$A$10:$A$21,0)),4))</f>
        <v/>
      </c>
      <c r="J753" s="22">
        <f>IF(OR(A753="",C753="",I753=""),"",I753*H753*C753/60)</f>
        <v/>
      </c>
    </row>
    <row r="754">
      <c r="A754" s="35" t="n"/>
      <c r="B754" s="33" t="n"/>
      <c r="C754" s="31" t="n"/>
      <c r="D754" s="30" t="n"/>
      <c r="E754" s="33" t="n"/>
      <c r="F754" s="20">
        <f>IF(A754="","",WEEKNUM(A754,21))</f>
        <v/>
      </c>
      <c r="G754" s="21">
        <f>IF(OR(C754="",N(D754)=0),"",C754/D754)</f>
        <v/>
      </c>
      <c r="H754" s="21">
        <f>IF(A754="","",IFERROR(INDEX(Weight!$B$2:$B$1000,MATCH(IF(_xlfn.MAXIFS(Weight!$A$2:$A$1000,Weight!$A$2:$A$1000,"&lt;="&amp;A754)&gt;0,_xlfn.MAXIFS(Weight!$A$2:$A$1000,Weight!$A$2:$A$1000,"&lt;="&amp;A754),_xlfn.MINIFS(Weight!$A$2:$A$1000,Weight!$A$2:$A$1000,"&gt;0")),Weight!$A$2:$A$1000,0)),Settings!$B$6))</f>
        <v/>
      </c>
      <c r="I754" s="21">
        <f>IF(B754="","",IFERROR(INDEX(Settings!$B$10:$B$21,MATCH(B754,Settings!$A$10:$A$21,0)),4))</f>
        <v/>
      </c>
      <c r="J754" s="22">
        <f>IF(OR(A754="",C754="",I754=""),"",I754*H754*C754/60)</f>
        <v/>
      </c>
    </row>
    <row r="755">
      <c r="A755" s="35" t="n"/>
      <c r="B755" s="33" t="n"/>
      <c r="C755" s="31" t="n"/>
      <c r="D755" s="30" t="n"/>
      <c r="E755" s="33" t="n"/>
      <c r="F755" s="20">
        <f>IF(A755="","",WEEKNUM(A755,21))</f>
        <v/>
      </c>
      <c r="G755" s="21">
        <f>IF(OR(C755="",N(D755)=0),"",C755/D755)</f>
        <v/>
      </c>
      <c r="H755" s="21">
        <f>IF(A755="","",IFERROR(INDEX(Weight!$B$2:$B$1000,MATCH(IF(_xlfn.MAXIFS(Weight!$A$2:$A$1000,Weight!$A$2:$A$1000,"&lt;="&amp;A755)&gt;0,_xlfn.MAXIFS(Weight!$A$2:$A$1000,Weight!$A$2:$A$1000,"&lt;="&amp;A755),_xlfn.MINIFS(Weight!$A$2:$A$1000,Weight!$A$2:$A$1000,"&gt;0")),Weight!$A$2:$A$1000,0)),Settings!$B$6))</f>
        <v/>
      </c>
      <c r="I755" s="21">
        <f>IF(B755="","",IFERROR(INDEX(Settings!$B$10:$B$21,MATCH(B755,Settings!$A$10:$A$21,0)),4))</f>
        <v/>
      </c>
      <c r="J755" s="22">
        <f>IF(OR(A755="",C755="",I755=""),"",I755*H755*C755/60)</f>
        <v/>
      </c>
    </row>
    <row r="756">
      <c r="A756" s="35" t="n"/>
      <c r="B756" s="33" t="n"/>
      <c r="C756" s="31" t="n"/>
      <c r="D756" s="30" t="n"/>
      <c r="E756" s="33" t="n"/>
      <c r="F756" s="20">
        <f>IF(A756="","",WEEKNUM(A756,21))</f>
        <v/>
      </c>
      <c r="G756" s="21">
        <f>IF(OR(C756="",N(D756)=0),"",C756/D756)</f>
        <v/>
      </c>
      <c r="H756" s="21">
        <f>IF(A756="","",IFERROR(INDEX(Weight!$B$2:$B$1000,MATCH(IF(_xlfn.MAXIFS(Weight!$A$2:$A$1000,Weight!$A$2:$A$1000,"&lt;="&amp;A756)&gt;0,_xlfn.MAXIFS(Weight!$A$2:$A$1000,Weight!$A$2:$A$1000,"&lt;="&amp;A756),_xlfn.MINIFS(Weight!$A$2:$A$1000,Weight!$A$2:$A$1000,"&gt;0")),Weight!$A$2:$A$1000,0)),Settings!$B$6))</f>
        <v/>
      </c>
      <c r="I756" s="21">
        <f>IF(B756="","",IFERROR(INDEX(Settings!$B$10:$B$21,MATCH(B756,Settings!$A$10:$A$21,0)),4))</f>
        <v/>
      </c>
      <c r="J756" s="22">
        <f>IF(OR(A756="",C756="",I756=""),"",I756*H756*C756/60)</f>
        <v/>
      </c>
    </row>
    <row r="757">
      <c r="A757" s="35" t="n"/>
      <c r="B757" s="33" t="n"/>
      <c r="C757" s="31" t="n"/>
      <c r="D757" s="30" t="n"/>
      <c r="E757" s="33" t="n"/>
      <c r="F757" s="20">
        <f>IF(A757="","",WEEKNUM(A757,21))</f>
        <v/>
      </c>
      <c r="G757" s="21">
        <f>IF(OR(C757="",N(D757)=0),"",C757/D757)</f>
        <v/>
      </c>
      <c r="H757" s="21">
        <f>IF(A757="","",IFERROR(INDEX(Weight!$B$2:$B$1000,MATCH(IF(_xlfn.MAXIFS(Weight!$A$2:$A$1000,Weight!$A$2:$A$1000,"&lt;="&amp;A757)&gt;0,_xlfn.MAXIFS(Weight!$A$2:$A$1000,Weight!$A$2:$A$1000,"&lt;="&amp;A757),_xlfn.MINIFS(Weight!$A$2:$A$1000,Weight!$A$2:$A$1000,"&gt;0")),Weight!$A$2:$A$1000,0)),Settings!$B$6))</f>
        <v/>
      </c>
      <c r="I757" s="21">
        <f>IF(B757="","",IFERROR(INDEX(Settings!$B$10:$B$21,MATCH(B757,Settings!$A$10:$A$21,0)),4))</f>
        <v/>
      </c>
      <c r="J757" s="22">
        <f>IF(OR(A757="",C757="",I757=""),"",I757*H757*C757/60)</f>
        <v/>
      </c>
    </row>
    <row r="758">
      <c r="A758" s="35" t="n"/>
      <c r="B758" s="33" t="n"/>
      <c r="C758" s="31" t="n"/>
      <c r="D758" s="30" t="n"/>
      <c r="E758" s="33" t="n"/>
      <c r="F758" s="20">
        <f>IF(A758="","",WEEKNUM(A758,21))</f>
        <v/>
      </c>
      <c r="G758" s="21">
        <f>IF(OR(C758="",N(D758)=0),"",C758/D758)</f>
        <v/>
      </c>
      <c r="H758" s="21">
        <f>IF(A758="","",IFERROR(INDEX(Weight!$B$2:$B$1000,MATCH(IF(_xlfn.MAXIFS(Weight!$A$2:$A$1000,Weight!$A$2:$A$1000,"&lt;="&amp;A758)&gt;0,_xlfn.MAXIFS(Weight!$A$2:$A$1000,Weight!$A$2:$A$1000,"&lt;="&amp;A758),_xlfn.MINIFS(Weight!$A$2:$A$1000,Weight!$A$2:$A$1000,"&gt;0")),Weight!$A$2:$A$1000,0)),Settings!$B$6))</f>
        <v/>
      </c>
      <c r="I758" s="21">
        <f>IF(B758="","",IFERROR(INDEX(Settings!$B$10:$B$21,MATCH(B758,Settings!$A$10:$A$21,0)),4))</f>
        <v/>
      </c>
      <c r="J758" s="22">
        <f>IF(OR(A758="",C758="",I758=""),"",I758*H758*C758/60)</f>
        <v/>
      </c>
    </row>
    <row r="759">
      <c r="A759" s="35" t="n"/>
      <c r="B759" s="33" t="n"/>
      <c r="C759" s="31" t="n"/>
      <c r="D759" s="30" t="n"/>
      <c r="E759" s="33" t="n"/>
      <c r="F759" s="20">
        <f>IF(A759="","",WEEKNUM(A759,21))</f>
        <v/>
      </c>
      <c r="G759" s="21">
        <f>IF(OR(C759="",N(D759)=0),"",C759/D759)</f>
        <v/>
      </c>
      <c r="H759" s="21">
        <f>IF(A759="","",IFERROR(INDEX(Weight!$B$2:$B$1000,MATCH(IF(_xlfn.MAXIFS(Weight!$A$2:$A$1000,Weight!$A$2:$A$1000,"&lt;="&amp;A759)&gt;0,_xlfn.MAXIFS(Weight!$A$2:$A$1000,Weight!$A$2:$A$1000,"&lt;="&amp;A759),_xlfn.MINIFS(Weight!$A$2:$A$1000,Weight!$A$2:$A$1000,"&gt;0")),Weight!$A$2:$A$1000,0)),Settings!$B$6))</f>
        <v/>
      </c>
      <c r="I759" s="21">
        <f>IF(B759="","",IFERROR(INDEX(Settings!$B$10:$B$21,MATCH(B759,Settings!$A$10:$A$21,0)),4))</f>
        <v/>
      </c>
      <c r="J759" s="22">
        <f>IF(OR(A759="",C759="",I759=""),"",I759*H759*C759/60)</f>
        <v/>
      </c>
    </row>
    <row r="760">
      <c r="A760" s="35" t="n"/>
      <c r="B760" s="33" t="n"/>
      <c r="C760" s="31" t="n"/>
      <c r="D760" s="30" t="n"/>
      <c r="E760" s="33" t="n"/>
      <c r="F760" s="20">
        <f>IF(A760="","",WEEKNUM(A760,21))</f>
        <v/>
      </c>
      <c r="G760" s="21">
        <f>IF(OR(C760="",N(D760)=0),"",C760/D760)</f>
        <v/>
      </c>
      <c r="H760" s="21">
        <f>IF(A760="","",IFERROR(INDEX(Weight!$B$2:$B$1000,MATCH(IF(_xlfn.MAXIFS(Weight!$A$2:$A$1000,Weight!$A$2:$A$1000,"&lt;="&amp;A760)&gt;0,_xlfn.MAXIFS(Weight!$A$2:$A$1000,Weight!$A$2:$A$1000,"&lt;="&amp;A760),_xlfn.MINIFS(Weight!$A$2:$A$1000,Weight!$A$2:$A$1000,"&gt;0")),Weight!$A$2:$A$1000,0)),Settings!$B$6))</f>
        <v/>
      </c>
      <c r="I760" s="21">
        <f>IF(B760="","",IFERROR(INDEX(Settings!$B$10:$B$21,MATCH(B760,Settings!$A$10:$A$21,0)),4))</f>
        <v/>
      </c>
      <c r="J760" s="22">
        <f>IF(OR(A760="",C760="",I760=""),"",I760*H760*C760/60)</f>
        <v/>
      </c>
    </row>
    <row r="761">
      <c r="A761" s="35" t="n"/>
      <c r="B761" s="33" t="n"/>
      <c r="C761" s="31" t="n"/>
      <c r="D761" s="30" t="n"/>
      <c r="E761" s="33" t="n"/>
      <c r="F761" s="20">
        <f>IF(A761="","",WEEKNUM(A761,21))</f>
        <v/>
      </c>
      <c r="G761" s="21">
        <f>IF(OR(C761="",N(D761)=0),"",C761/D761)</f>
        <v/>
      </c>
      <c r="H761" s="21">
        <f>IF(A761="","",IFERROR(INDEX(Weight!$B$2:$B$1000,MATCH(IF(_xlfn.MAXIFS(Weight!$A$2:$A$1000,Weight!$A$2:$A$1000,"&lt;="&amp;A761)&gt;0,_xlfn.MAXIFS(Weight!$A$2:$A$1000,Weight!$A$2:$A$1000,"&lt;="&amp;A761),_xlfn.MINIFS(Weight!$A$2:$A$1000,Weight!$A$2:$A$1000,"&gt;0")),Weight!$A$2:$A$1000,0)),Settings!$B$6))</f>
        <v/>
      </c>
      <c r="I761" s="21">
        <f>IF(B761="","",IFERROR(INDEX(Settings!$B$10:$B$21,MATCH(B761,Settings!$A$10:$A$21,0)),4))</f>
        <v/>
      </c>
      <c r="J761" s="22">
        <f>IF(OR(A761="",C761="",I761=""),"",I761*H761*C761/60)</f>
        <v/>
      </c>
    </row>
    <row r="762">
      <c r="A762" s="35" t="n"/>
      <c r="B762" s="33" t="n"/>
      <c r="C762" s="31" t="n"/>
      <c r="D762" s="30" t="n"/>
      <c r="E762" s="33" t="n"/>
      <c r="F762" s="20">
        <f>IF(A762="","",WEEKNUM(A762,21))</f>
        <v/>
      </c>
      <c r="G762" s="21">
        <f>IF(OR(C762="",N(D762)=0),"",C762/D762)</f>
        <v/>
      </c>
      <c r="H762" s="21">
        <f>IF(A762="","",IFERROR(INDEX(Weight!$B$2:$B$1000,MATCH(IF(_xlfn.MAXIFS(Weight!$A$2:$A$1000,Weight!$A$2:$A$1000,"&lt;="&amp;A762)&gt;0,_xlfn.MAXIFS(Weight!$A$2:$A$1000,Weight!$A$2:$A$1000,"&lt;="&amp;A762),_xlfn.MINIFS(Weight!$A$2:$A$1000,Weight!$A$2:$A$1000,"&gt;0")),Weight!$A$2:$A$1000,0)),Settings!$B$6))</f>
        <v/>
      </c>
      <c r="I762" s="21">
        <f>IF(B762="","",IFERROR(INDEX(Settings!$B$10:$B$21,MATCH(B762,Settings!$A$10:$A$21,0)),4))</f>
        <v/>
      </c>
      <c r="J762" s="22">
        <f>IF(OR(A762="",C762="",I762=""),"",I762*H762*C762/60)</f>
        <v/>
      </c>
    </row>
    <row r="763">
      <c r="A763" s="35" t="n"/>
      <c r="B763" s="33" t="n"/>
      <c r="C763" s="31" t="n"/>
      <c r="D763" s="30" t="n"/>
      <c r="E763" s="33" t="n"/>
      <c r="F763" s="20">
        <f>IF(A763="","",WEEKNUM(A763,21))</f>
        <v/>
      </c>
      <c r="G763" s="21">
        <f>IF(OR(C763="",N(D763)=0),"",C763/D763)</f>
        <v/>
      </c>
      <c r="H763" s="21">
        <f>IF(A763="","",IFERROR(INDEX(Weight!$B$2:$B$1000,MATCH(IF(_xlfn.MAXIFS(Weight!$A$2:$A$1000,Weight!$A$2:$A$1000,"&lt;="&amp;A763)&gt;0,_xlfn.MAXIFS(Weight!$A$2:$A$1000,Weight!$A$2:$A$1000,"&lt;="&amp;A763),_xlfn.MINIFS(Weight!$A$2:$A$1000,Weight!$A$2:$A$1000,"&gt;0")),Weight!$A$2:$A$1000,0)),Settings!$B$6))</f>
        <v/>
      </c>
      <c r="I763" s="21">
        <f>IF(B763="","",IFERROR(INDEX(Settings!$B$10:$B$21,MATCH(B763,Settings!$A$10:$A$21,0)),4))</f>
        <v/>
      </c>
      <c r="J763" s="22">
        <f>IF(OR(A763="",C763="",I763=""),"",I763*H763*C763/60)</f>
        <v/>
      </c>
    </row>
    <row r="764">
      <c r="A764" s="35" t="n"/>
      <c r="B764" s="33" t="n"/>
      <c r="C764" s="31" t="n"/>
      <c r="D764" s="30" t="n"/>
      <c r="E764" s="33" t="n"/>
      <c r="F764" s="20">
        <f>IF(A764="","",WEEKNUM(A764,21))</f>
        <v/>
      </c>
      <c r="G764" s="21">
        <f>IF(OR(C764="",N(D764)=0),"",C764/D764)</f>
        <v/>
      </c>
      <c r="H764" s="21">
        <f>IF(A764="","",IFERROR(INDEX(Weight!$B$2:$B$1000,MATCH(IF(_xlfn.MAXIFS(Weight!$A$2:$A$1000,Weight!$A$2:$A$1000,"&lt;="&amp;A764)&gt;0,_xlfn.MAXIFS(Weight!$A$2:$A$1000,Weight!$A$2:$A$1000,"&lt;="&amp;A764),_xlfn.MINIFS(Weight!$A$2:$A$1000,Weight!$A$2:$A$1000,"&gt;0")),Weight!$A$2:$A$1000,0)),Settings!$B$6))</f>
        <v/>
      </c>
      <c r="I764" s="21">
        <f>IF(B764="","",IFERROR(INDEX(Settings!$B$10:$B$21,MATCH(B764,Settings!$A$10:$A$21,0)),4))</f>
        <v/>
      </c>
      <c r="J764" s="22">
        <f>IF(OR(A764="",C764="",I764=""),"",I764*H764*C764/60)</f>
        <v/>
      </c>
    </row>
    <row r="765">
      <c r="A765" s="35" t="n"/>
      <c r="B765" s="33" t="n"/>
      <c r="C765" s="31" t="n"/>
      <c r="D765" s="30" t="n"/>
      <c r="E765" s="33" t="n"/>
      <c r="F765" s="20">
        <f>IF(A765="","",WEEKNUM(A765,21))</f>
        <v/>
      </c>
      <c r="G765" s="21">
        <f>IF(OR(C765="",N(D765)=0),"",C765/D765)</f>
        <v/>
      </c>
      <c r="H765" s="21">
        <f>IF(A765="","",IFERROR(INDEX(Weight!$B$2:$B$1000,MATCH(IF(_xlfn.MAXIFS(Weight!$A$2:$A$1000,Weight!$A$2:$A$1000,"&lt;="&amp;A765)&gt;0,_xlfn.MAXIFS(Weight!$A$2:$A$1000,Weight!$A$2:$A$1000,"&lt;="&amp;A765),_xlfn.MINIFS(Weight!$A$2:$A$1000,Weight!$A$2:$A$1000,"&gt;0")),Weight!$A$2:$A$1000,0)),Settings!$B$6))</f>
        <v/>
      </c>
      <c r="I765" s="21">
        <f>IF(B765="","",IFERROR(INDEX(Settings!$B$10:$B$21,MATCH(B765,Settings!$A$10:$A$21,0)),4))</f>
        <v/>
      </c>
      <c r="J765" s="22">
        <f>IF(OR(A765="",C765="",I765=""),"",I765*H765*C765/60)</f>
        <v/>
      </c>
    </row>
    <row r="766">
      <c r="A766" s="35" t="n"/>
      <c r="B766" s="33" t="n"/>
      <c r="C766" s="31" t="n"/>
      <c r="D766" s="30" t="n"/>
      <c r="E766" s="33" t="n"/>
      <c r="F766" s="20">
        <f>IF(A766="","",WEEKNUM(A766,21))</f>
        <v/>
      </c>
      <c r="G766" s="21">
        <f>IF(OR(C766="",N(D766)=0),"",C766/D766)</f>
        <v/>
      </c>
      <c r="H766" s="21">
        <f>IF(A766="","",IFERROR(INDEX(Weight!$B$2:$B$1000,MATCH(IF(_xlfn.MAXIFS(Weight!$A$2:$A$1000,Weight!$A$2:$A$1000,"&lt;="&amp;A766)&gt;0,_xlfn.MAXIFS(Weight!$A$2:$A$1000,Weight!$A$2:$A$1000,"&lt;="&amp;A766),_xlfn.MINIFS(Weight!$A$2:$A$1000,Weight!$A$2:$A$1000,"&gt;0")),Weight!$A$2:$A$1000,0)),Settings!$B$6))</f>
        <v/>
      </c>
      <c r="I766" s="21">
        <f>IF(B766="","",IFERROR(INDEX(Settings!$B$10:$B$21,MATCH(B766,Settings!$A$10:$A$21,0)),4))</f>
        <v/>
      </c>
      <c r="J766" s="22">
        <f>IF(OR(A766="",C766="",I766=""),"",I766*H766*C766/60)</f>
        <v/>
      </c>
    </row>
    <row r="767">
      <c r="A767" s="35" t="n"/>
      <c r="B767" s="33" t="n"/>
      <c r="C767" s="31" t="n"/>
      <c r="D767" s="30" t="n"/>
      <c r="E767" s="33" t="n"/>
      <c r="F767" s="20">
        <f>IF(A767="","",WEEKNUM(A767,21))</f>
        <v/>
      </c>
      <c r="G767" s="21">
        <f>IF(OR(C767="",N(D767)=0),"",C767/D767)</f>
        <v/>
      </c>
      <c r="H767" s="21">
        <f>IF(A767="","",IFERROR(INDEX(Weight!$B$2:$B$1000,MATCH(IF(_xlfn.MAXIFS(Weight!$A$2:$A$1000,Weight!$A$2:$A$1000,"&lt;="&amp;A767)&gt;0,_xlfn.MAXIFS(Weight!$A$2:$A$1000,Weight!$A$2:$A$1000,"&lt;="&amp;A767),_xlfn.MINIFS(Weight!$A$2:$A$1000,Weight!$A$2:$A$1000,"&gt;0")),Weight!$A$2:$A$1000,0)),Settings!$B$6))</f>
        <v/>
      </c>
      <c r="I767" s="21">
        <f>IF(B767="","",IFERROR(INDEX(Settings!$B$10:$B$21,MATCH(B767,Settings!$A$10:$A$21,0)),4))</f>
        <v/>
      </c>
      <c r="J767" s="22">
        <f>IF(OR(A767="",C767="",I767=""),"",I767*H767*C767/60)</f>
        <v/>
      </c>
    </row>
    <row r="768">
      <c r="A768" s="35" t="n"/>
      <c r="B768" s="33" t="n"/>
      <c r="C768" s="31" t="n"/>
      <c r="D768" s="30" t="n"/>
      <c r="E768" s="33" t="n"/>
      <c r="F768" s="20">
        <f>IF(A768="","",WEEKNUM(A768,21))</f>
        <v/>
      </c>
      <c r="G768" s="21">
        <f>IF(OR(C768="",N(D768)=0),"",C768/D768)</f>
        <v/>
      </c>
      <c r="H768" s="21">
        <f>IF(A768="","",IFERROR(INDEX(Weight!$B$2:$B$1000,MATCH(IF(_xlfn.MAXIFS(Weight!$A$2:$A$1000,Weight!$A$2:$A$1000,"&lt;="&amp;A768)&gt;0,_xlfn.MAXIFS(Weight!$A$2:$A$1000,Weight!$A$2:$A$1000,"&lt;="&amp;A768),_xlfn.MINIFS(Weight!$A$2:$A$1000,Weight!$A$2:$A$1000,"&gt;0")),Weight!$A$2:$A$1000,0)),Settings!$B$6))</f>
        <v/>
      </c>
      <c r="I768" s="21">
        <f>IF(B768="","",IFERROR(INDEX(Settings!$B$10:$B$21,MATCH(B768,Settings!$A$10:$A$21,0)),4))</f>
        <v/>
      </c>
      <c r="J768" s="22">
        <f>IF(OR(A768="",C768="",I768=""),"",I768*H768*C768/60)</f>
        <v/>
      </c>
    </row>
    <row r="769">
      <c r="A769" s="35" t="n"/>
      <c r="B769" s="33" t="n"/>
      <c r="C769" s="31" t="n"/>
      <c r="D769" s="30" t="n"/>
      <c r="E769" s="33" t="n"/>
      <c r="F769" s="20">
        <f>IF(A769="","",WEEKNUM(A769,21))</f>
        <v/>
      </c>
      <c r="G769" s="21">
        <f>IF(OR(C769="",N(D769)=0),"",C769/D769)</f>
        <v/>
      </c>
      <c r="H769" s="21">
        <f>IF(A769="","",IFERROR(INDEX(Weight!$B$2:$B$1000,MATCH(IF(_xlfn.MAXIFS(Weight!$A$2:$A$1000,Weight!$A$2:$A$1000,"&lt;="&amp;A769)&gt;0,_xlfn.MAXIFS(Weight!$A$2:$A$1000,Weight!$A$2:$A$1000,"&lt;="&amp;A769),_xlfn.MINIFS(Weight!$A$2:$A$1000,Weight!$A$2:$A$1000,"&gt;0")),Weight!$A$2:$A$1000,0)),Settings!$B$6))</f>
        <v/>
      </c>
      <c r="I769" s="21">
        <f>IF(B769="","",IFERROR(INDEX(Settings!$B$10:$B$21,MATCH(B769,Settings!$A$10:$A$21,0)),4))</f>
        <v/>
      </c>
      <c r="J769" s="22">
        <f>IF(OR(A769="",C769="",I769=""),"",I769*H769*C769/60)</f>
        <v/>
      </c>
    </row>
    <row r="770">
      <c r="A770" s="35" t="n"/>
      <c r="B770" s="33" t="n"/>
      <c r="C770" s="31" t="n"/>
      <c r="D770" s="30" t="n"/>
      <c r="E770" s="33" t="n"/>
      <c r="F770" s="20">
        <f>IF(A770="","",WEEKNUM(A770,21))</f>
        <v/>
      </c>
      <c r="G770" s="21">
        <f>IF(OR(C770="",N(D770)=0),"",C770/D770)</f>
        <v/>
      </c>
      <c r="H770" s="21">
        <f>IF(A770="","",IFERROR(INDEX(Weight!$B$2:$B$1000,MATCH(IF(_xlfn.MAXIFS(Weight!$A$2:$A$1000,Weight!$A$2:$A$1000,"&lt;="&amp;A770)&gt;0,_xlfn.MAXIFS(Weight!$A$2:$A$1000,Weight!$A$2:$A$1000,"&lt;="&amp;A770),_xlfn.MINIFS(Weight!$A$2:$A$1000,Weight!$A$2:$A$1000,"&gt;0")),Weight!$A$2:$A$1000,0)),Settings!$B$6))</f>
        <v/>
      </c>
      <c r="I770" s="21">
        <f>IF(B770="","",IFERROR(INDEX(Settings!$B$10:$B$21,MATCH(B770,Settings!$A$10:$A$21,0)),4))</f>
        <v/>
      </c>
      <c r="J770" s="22">
        <f>IF(OR(A770="",C770="",I770=""),"",I770*H770*C770/60)</f>
        <v/>
      </c>
    </row>
    <row r="771">
      <c r="A771" s="35" t="n"/>
      <c r="B771" s="33" t="n"/>
      <c r="C771" s="31" t="n"/>
      <c r="D771" s="30" t="n"/>
      <c r="E771" s="33" t="n"/>
      <c r="F771" s="20">
        <f>IF(A771="","",WEEKNUM(A771,21))</f>
        <v/>
      </c>
      <c r="G771" s="21">
        <f>IF(OR(C771="",N(D771)=0),"",C771/D771)</f>
        <v/>
      </c>
      <c r="H771" s="21">
        <f>IF(A771="","",IFERROR(INDEX(Weight!$B$2:$B$1000,MATCH(IF(_xlfn.MAXIFS(Weight!$A$2:$A$1000,Weight!$A$2:$A$1000,"&lt;="&amp;A771)&gt;0,_xlfn.MAXIFS(Weight!$A$2:$A$1000,Weight!$A$2:$A$1000,"&lt;="&amp;A771),_xlfn.MINIFS(Weight!$A$2:$A$1000,Weight!$A$2:$A$1000,"&gt;0")),Weight!$A$2:$A$1000,0)),Settings!$B$6))</f>
        <v/>
      </c>
      <c r="I771" s="21">
        <f>IF(B771="","",IFERROR(INDEX(Settings!$B$10:$B$21,MATCH(B771,Settings!$A$10:$A$21,0)),4))</f>
        <v/>
      </c>
      <c r="J771" s="22">
        <f>IF(OR(A771="",C771="",I771=""),"",I771*H771*C771/60)</f>
        <v/>
      </c>
    </row>
    <row r="772">
      <c r="A772" s="35" t="n"/>
      <c r="B772" s="33" t="n"/>
      <c r="C772" s="31" t="n"/>
      <c r="D772" s="30" t="n"/>
      <c r="E772" s="33" t="n"/>
      <c r="F772" s="20">
        <f>IF(A772="","",WEEKNUM(A772,21))</f>
        <v/>
      </c>
      <c r="G772" s="21">
        <f>IF(OR(C772="",N(D772)=0),"",C772/D772)</f>
        <v/>
      </c>
      <c r="H772" s="21">
        <f>IF(A772="","",IFERROR(INDEX(Weight!$B$2:$B$1000,MATCH(IF(_xlfn.MAXIFS(Weight!$A$2:$A$1000,Weight!$A$2:$A$1000,"&lt;="&amp;A772)&gt;0,_xlfn.MAXIFS(Weight!$A$2:$A$1000,Weight!$A$2:$A$1000,"&lt;="&amp;A772),_xlfn.MINIFS(Weight!$A$2:$A$1000,Weight!$A$2:$A$1000,"&gt;0")),Weight!$A$2:$A$1000,0)),Settings!$B$6))</f>
        <v/>
      </c>
      <c r="I772" s="21">
        <f>IF(B772="","",IFERROR(INDEX(Settings!$B$10:$B$21,MATCH(B772,Settings!$A$10:$A$21,0)),4))</f>
        <v/>
      </c>
      <c r="J772" s="22">
        <f>IF(OR(A772="",C772="",I772=""),"",I772*H772*C772/60)</f>
        <v/>
      </c>
    </row>
    <row r="773">
      <c r="A773" s="35" t="n"/>
      <c r="B773" s="33" t="n"/>
      <c r="C773" s="31" t="n"/>
      <c r="D773" s="30" t="n"/>
      <c r="E773" s="33" t="n"/>
      <c r="F773" s="20">
        <f>IF(A773="","",WEEKNUM(A773,21))</f>
        <v/>
      </c>
      <c r="G773" s="21">
        <f>IF(OR(C773="",N(D773)=0),"",C773/D773)</f>
        <v/>
      </c>
      <c r="H773" s="21">
        <f>IF(A773="","",IFERROR(INDEX(Weight!$B$2:$B$1000,MATCH(IF(_xlfn.MAXIFS(Weight!$A$2:$A$1000,Weight!$A$2:$A$1000,"&lt;="&amp;A773)&gt;0,_xlfn.MAXIFS(Weight!$A$2:$A$1000,Weight!$A$2:$A$1000,"&lt;="&amp;A773),_xlfn.MINIFS(Weight!$A$2:$A$1000,Weight!$A$2:$A$1000,"&gt;0")),Weight!$A$2:$A$1000,0)),Settings!$B$6))</f>
        <v/>
      </c>
      <c r="I773" s="21">
        <f>IF(B773="","",IFERROR(INDEX(Settings!$B$10:$B$21,MATCH(B773,Settings!$A$10:$A$21,0)),4))</f>
        <v/>
      </c>
      <c r="J773" s="22">
        <f>IF(OR(A773="",C773="",I773=""),"",I773*H773*C773/60)</f>
        <v/>
      </c>
    </row>
    <row r="774">
      <c r="A774" s="35" t="n"/>
      <c r="B774" s="33" t="n"/>
      <c r="C774" s="31" t="n"/>
      <c r="D774" s="30" t="n"/>
      <c r="E774" s="33" t="n"/>
      <c r="F774" s="20">
        <f>IF(A774="","",WEEKNUM(A774,21))</f>
        <v/>
      </c>
      <c r="G774" s="21">
        <f>IF(OR(C774="",N(D774)=0),"",C774/D774)</f>
        <v/>
      </c>
      <c r="H774" s="21">
        <f>IF(A774="","",IFERROR(INDEX(Weight!$B$2:$B$1000,MATCH(IF(_xlfn.MAXIFS(Weight!$A$2:$A$1000,Weight!$A$2:$A$1000,"&lt;="&amp;A774)&gt;0,_xlfn.MAXIFS(Weight!$A$2:$A$1000,Weight!$A$2:$A$1000,"&lt;="&amp;A774),_xlfn.MINIFS(Weight!$A$2:$A$1000,Weight!$A$2:$A$1000,"&gt;0")),Weight!$A$2:$A$1000,0)),Settings!$B$6))</f>
        <v/>
      </c>
      <c r="I774" s="21">
        <f>IF(B774="","",IFERROR(INDEX(Settings!$B$10:$B$21,MATCH(B774,Settings!$A$10:$A$21,0)),4))</f>
        <v/>
      </c>
      <c r="J774" s="22">
        <f>IF(OR(A774="",C774="",I774=""),"",I774*H774*C774/60)</f>
        <v/>
      </c>
    </row>
    <row r="775">
      <c r="A775" s="35" t="n"/>
      <c r="B775" s="33" t="n"/>
      <c r="C775" s="31" t="n"/>
      <c r="D775" s="30" t="n"/>
      <c r="E775" s="33" t="n"/>
      <c r="F775" s="20">
        <f>IF(A775="","",WEEKNUM(A775,21))</f>
        <v/>
      </c>
      <c r="G775" s="21">
        <f>IF(OR(C775="",N(D775)=0),"",C775/D775)</f>
        <v/>
      </c>
      <c r="H775" s="21">
        <f>IF(A775="","",IFERROR(INDEX(Weight!$B$2:$B$1000,MATCH(IF(_xlfn.MAXIFS(Weight!$A$2:$A$1000,Weight!$A$2:$A$1000,"&lt;="&amp;A775)&gt;0,_xlfn.MAXIFS(Weight!$A$2:$A$1000,Weight!$A$2:$A$1000,"&lt;="&amp;A775),_xlfn.MINIFS(Weight!$A$2:$A$1000,Weight!$A$2:$A$1000,"&gt;0")),Weight!$A$2:$A$1000,0)),Settings!$B$6))</f>
        <v/>
      </c>
      <c r="I775" s="21">
        <f>IF(B775="","",IFERROR(INDEX(Settings!$B$10:$B$21,MATCH(B775,Settings!$A$10:$A$21,0)),4))</f>
        <v/>
      </c>
      <c r="J775" s="22">
        <f>IF(OR(A775="",C775="",I775=""),"",I775*H775*C775/60)</f>
        <v/>
      </c>
    </row>
    <row r="776">
      <c r="A776" s="35" t="n"/>
      <c r="B776" s="33" t="n"/>
      <c r="C776" s="31" t="n"/>
      <c r="D776" s="30" t="n"/>
      <c r="E776" s="33" t="n"/>
      <c r="F776" s="20">
        <f>IF(A776="","",WEEKNUM(A776,21))</f>
        <v/>
      </c>
      <c r="G776" s="21">
        <f>IF(OR(C776="",N(D776)=0),"",C776/D776)</f>
        <v/>
      </c>
      <c r="H776" s="21">
        <f>IF(A776="","",IFERROR(INDEX(Weight!$B$2:$B$1000,MATCH(IF(_xlfn.MAXIFS(Weight!$A$2:$A$1000,Weight!$A$2:$A$1000,"&lt;="&amp;A776)&gt;0,_xlfn.MAXIFS(Weight!$A$2:$A$1000,Weight!$A$2:$A$1000,"&lt;="&amp;A776),_xlfn.MINIFS(Weight!$A$2:$A$1000,Weight!$A$2:$A$1000,"&gt;0")),Weight!$A$2:$A$1000,0)),Settings!$B$6))</f>
        <v/>
      </c>
      <c r="I776" s="21">
        <f>IF(B776="","",IFERROR(INDEX(Settings!$B$10:$B$21,MATCH(B776,Settings!$A$10:$A$21,0)),4))</f>
        <v/>
      </c>
      <c r="J776" s="22">
        <f>IF(OR(A776="",C776="",I776=""),"",I776*H776*C776/60)</f>
        <v/>
      </c>
    </row>
    <row r="777">
      <c r="A777" s="35" t="n"/>
      <c r="B777" s="33" t="n"/>
      <c r="C777" s="31" t="n"/>
      <c r="D777" s="30" t="n"/>
      <c r="E777" s="33" t="n"/>
      <c r="F777" s="20">
        <f>IF(A777="","",WEEKNUM(A777,21))</f>
        <v/>
      </c>
      <c r="G777" s="21">
        <f>IF(OR(C777="",N(D777)=0),"",C777/D777)</f>
        <v/>
      </c>
      <c r="H777" s="21">
        <f>IF(A777="","",IFERROR(INDEX(Weight!$B$2:$B$1000,MATCH(IF(_xlfn.MAXIFS(Weight!$A$2:$A$1000,Weight!$A$2:$A$1000,"&lt;="&amp;A777)&gt;0,_xlfn.MAXIFS(Weight!$A$2:$A$1000,Weight!$A$2:$A$1000,"&lt;="&amp;A777),_xlfn.MINIFS(Weight!$A$2:$A$1000,Weight!$A$2:$A$1000,"&gt;0")),Weight!$A$2:$A$1000,0)),Settings!$B$6))</f>
        <v/>
      </c>
      <c r="I777" s="21">
        <f>IF(B777="","",IFERROR(INDEX(Settings!$B$10:$B$21,MATCH(B777,Settings!$A$10:$A$21,0)),4))</f>
        <v/>
      </c>
      <c r="J777" s="22">
        <f>IF(OR(A777="",C777="",I777=""),"",I777*H777*C777/60)</f>
        <v/>
      </c>
    </row>
    <row r="778">
      <c r="A778" s="35" t="n"/>
      <c r="B778" s="33" t="n"/>
      <c r="C778" s="31" t="n"/>
      <c r="D778" s="30" t="n"/>
      <c r="E778" s="33" t="n"/>
      <c r="F778" s="20">
        <f>IF(A778="","",WEEKNUM(A778,21))</f>
        <v/>
      </c>
      <c r="G778" s="21">
        <f>IF(OR(C778="",N(D778)=0),"",C778/D778)</f>
        <v/>
      </c>
      <c r="H778" s="21">
        <f>IF(A778="","",IFERROR(INDEX(Weight!$B$2:$B$1000,MATCH(IF(_xlfn.MAXIFS(Weight!$A$2:$A$1000,Weight!$A$2:$A$1000,"&lt;="&amp;A778)&gt;0,_xlfn.MAXIFS(Weight!$A$2:$A$1000,Weight!$A$2:$A$1000,"&lt;="&amp;A778),_xlfn.MINIFS(Weight!$A$2:$A$1000,Weight!$A$2:$A$1000,"&gt;0")),Weight!$A$2:$A$1000,0)),Settings!$B$6))</f>
        <v/>
      </c>
      <c r="I778" s="21">
        <f>IF(B778="","",IFERROR(INDEX(Settings!$B$10:$B$21,MATCH(B778,Settings!$A$10:$A$21,0)),4))</f>
        <v/>
      </c>
      <c r="J778" s="22">
        <f>IF(OR(A778="",C778="",I778=""),"",I778*H778*C778/60)</f>
        <v/>
      </c>
    </row>
    <row r="779">
      <c r="A779" s="35" t="n"/>
      <c r="B779" s="33" t="n"/>
      <c r="C779" s="31" t="n"/>
      <c r="D779" s="30" t="n"/>
      <c r="E779" s="33" t="n"/>
      <c r="F779" s="20">
        <f>IF(A779="","",WEEKNUM(A779,21))</f>
        <v/>
      </c>
      <c r="G779" s="21">
        <f>IF(OR(C779="",N(D779)=0),"",C779/D779)</f>
        <v/>
      </c>
      <c r="H779" s="21">
        <f>IF(A779="","",IFERROR(INDEX(Weight!$B$2:$B$1000,MATCH(IF(_xlfn.MAXIFS(Weight!$A$2:$A$1000,Weight!$A$2:$A$1000,"&lt;="&amp;A779)&gt;0,_xlfn.MAXIFS(Weight!$A$2:$A$1000,Weight!$A$2:$A$1000,"&lt;="&amp;A779),_xlfn.MINIFS(Weight!$A$2:$A$1000,Weight!$A$2:$A$1000,"&gt;0")),Weight!$A$2:$A$1000,0)),Settings!$B$6))</f>
        <v/>
      </c>
      <c r="I779" s="21">
        <f>IF(B779="","",IFERROR(INDEX(Settings!$B$10:$B$21,MATCH(B779,Settings!$A$10:$A$21,0)),4))</f>
        <v/>
      </c>
      <c r="J779" s="22">
        <f>IF(OR(A779="",C779="",I779=""),"",I779*H779*C779/60)</f>
        <v/>
      </c>
    </row>
    <row r="780">
      <c r="A780" s="35" t="n"/>
      <c r="B780" s="33" t="n"/>
      <c r="C780" s="31" t="n"/>
      <c r="D780" s="30" t="n"/>
      <c r="E780" s="33" t="n"/>
      <c r="F780" s="20">
        <f>IF(A780="","",WEEKNUM(A780,21))</f>
        <v/>
      </c>
      <c r="G780" s="21">
        <f>IF(OR(C780="",N(D780)=0),"",C780/D780)</f>
        <v/>
      </c>
      <c r="H780" s="21">
        <f>IF(A780="","",IFERROR(INDEX(Weight!$B$2:$B$1000,MATCH(IF(_xlfn.MAXIFS(Weight!$A$2:$A$1000,Weight!$A$2:$A$1000,"&lt;="&amp;A780)&gt;0,_xlfn.MAXIFS(Weight!$A$2:$A$1000,Weight!$A$2:$A$1000,"&lt;="&amp;A780),_xlfn.MINIFS(Weight!$A$2:$A$1000,Weight!$A$2:$A$1000,"&gt;0")),Weight!$A$2:$A$1000,0)),Settings!$B$6))</f>
        <v/>
      </c>
      <c r="I780" s="21">
        <f>IF(B780="","",IFERROR(INDEX(Settings!$B$10:$B$21,MATCH(B780,Settings!$A$10:$A$21,0)),4))</f>
        <v/>
      </c>
      <c r="J780" s="22">
        <f>IF(OR(A780="",C780="",I780=""),"",I780*H780*C780/60)</f>
        <v/>
      </c>
    </row>
    <row r="781">
      <c r="A781" s="35" t="n"/>
      <c r="B781" s="33" t="n"/>
      <c r="C781" s="31" t="n"/>
      <c r="D781" s="30" t="n"/>
      <c r="E781" s="33" t="n"/>
      <c r="F781" s="20">
        <f>IF(A781="","",WEEKNUM(A781,21))</f>
        <v/>
      </c>
      <c r="G781" s="21">
        <f>IF(OR(C781="",N(D781)=0),"",C781/D781)</f>
        <v/>
      </c>
      <c r="H781" s="21">
        <f>IF(A781="","",IFERROR(INDEX(Weight!$B$2:$B$1000,MATCH(IF(_xlfn.MAXIFS(Weight!$A$2:$A$1000,Weight!$A$2:$A$1000,"&lt;="&amp;A781)&gt;0,_xlfn.MAXIFS(Weight!$A$2:$A$1000,Weight!$A$2:$A$1000,"&lt;="&amp;A781),_xlfn.MINIFS(Weight!$A$2:$A$1000,Weight!$A$2:$A$1000,"&gt;0")),Weight!$A$2:$A$1000,0)),Settings!$B$6))</f>
        <v/>
      </c>
      <c r="I781" s="21">
        <f>IF(B781="","",IFERROR(INDEX(Settings!$B$10:$B$21,MATCH(B781,Settings!$A$10:$A$21,0)),4))</f>
        <v/>
      </c>
      <c r="J781" s="22">
        <f>IF(OR(A781="",C781="",I781=""),"",I781*H781*C781/60)</f>
        <v/>
      </c>
    </row>
    <row r="782">
      <c r="A782" s="35" t="n"/>
      <c r="B782" s="33" t="n"/>
      <c r="C782" s="31" t="n"/>
      <c r="D782" s="30" t="n"/>
      <c r="E782" s="33" t="n"/>
      <c r="F782" s="20">
        <f>IF(A782="","",WEEKNUM(A782,21))</f>
        <v/>
      </c>
      <c r="G782" s="21">
        <f>IF(OR(C782="",N(D782)=0),"",C782/D782)</f>
        <v/>
      </c>
      <c r="H782" s="21">
        <f>IF(A782="","",IFERROR(INDEX(Weight!$B$2:$B$1000,MATCH(IF(_xlfn.MAXIFS(Weight!$A$2:$A$1000,Weight!$A$2:$A$1000,"&lt;="&amp;A782)&gt;0,_xlfn.MAXIFS(Weight!$A$2:$A$1000,Weight!$A$2:$A$1000,"&lt;="&amp;A782),_xlfn.MINIFS(Weight!$A$2:$A$1000,Weight!$A$2:$A$1000,"&gt;0")),Weight!$A$2:$A$1000,0)),Settings!$B$6))</f>
        <v/>
      </c>
      <c r="I782" s="21">
        <f>IF(B782="","",IFERROR(INDEX(Settings!$B$10:$B$21,MATCH(B782,Settings!$A$10:$A$21,0)),4))</f>
        <v/>
      </c>
      <c r="J782" s="22">
        <f>IF(OR(A782="",C782="",I782=""),"",I782*H782*C782/60)</f>
        <v/>
      </c>
    </row>
    <row r="783">
      <c r="A783" s="35" t="n"/>
      <c r="B783" s="33" t="n"/>
      <c r="C783" s="31" t="n"/>
      <c r="D783" s="30" t="n"/>
      <c r="E783" s="33" t="n"/>
      <c r="F783" s="20">
        <f>IF(A783="","",WEEKNUM(A783,21))</f>
        <v/>
      </c>
      <c r="G783" s="21">
        <f>IF(OR(C783="",N(D783)=0),"",C783/D783)</f>
        <v/>
      </c>
      <c r="H783" s="21">
        <f>IF(A783="","",IFERROR(INDEX(Weight!$B$2:$B$1000,MATCH(IF(_xlfn.MAXIFS(Weight!$A$2:$A$1000,Weight!$A$2:$A$1000,"&lt;="&amp;A783)&gt;0,_xlfn.MAXIFS(Weight!$A$2:$A$1000,Weight!$A$2:$A$1000,"&lt;="&amp;A783),_xlfn.MINIFS(Weight!$A$2:$A$1000,Weight!$A$2:$A$1000,"&gt;0")),Weight!$A$2:$A$1000,0)),Settings!$B$6))</f>
        <v/>
      </c>
      <c r="I783" s="21">
        <f>IF(B783="","",IFERROR(INDEX(Settings!$B$10:$B$21,MATCH(B783,Settings!$A$10:$A$21,0)),4))</f>
        <v/>
      </c>
      <c r="J783" s="22">
        <f>IF(OR(A783="",C783="",I783=""),"",I783*H783*C783/60)</f>
        <v/>
      </c>
    </row>
    <row r="784">
      <c r="A784" s="35" t="n"/>
      <c r="B784" s="33" t="n"/>
      <c r="C784" s="31" t="n"/>
      <c r="D784" s="30" t="n"/>
      <c r="E784" s="33" t="n"/>
      <c r="F784" s="20">
        <f>IF(A784="","",WEEKNUM(A784,21))</f>
        <v/>
      </c>
      <c r="G784" s="21">
        <f>IF(OR(C784="",N(D784)=0),"",C784/D784)</f>
        <v/>
      </c>
      <c r="H784" s="21">
        <f>IF(A784="","",IFERROR(INDEX(Weight!$B$2:$B$1000,MATCH(IF(_xlfn.MAXIFS(Weight!$A$2:$A$1000,Weight!$A$2:$A$1000,"&lt;="&amp;A784)&gt;0,_xlfn.MAXIFS(Weight!$A$2:$A$1000,Weight!$A$2:$A$1000,"&lt;="&amp;A784),_xlfn.MINIFS(Weight!$A$2:$A$1000,Weight!$A$2:$A$1000,"&gt;0")),Weight!$A$2:$A$1000,0)),Settings!$B$6))</f>
        <v/>
      </c>
      <c r="I784" s="21">
        <f>IF(B784="","",IFERROR(INDEX(Settings!$B$10:$B$21,MATCH(B784,Settings!$A$10:$A$21,0)),4))</f>
        <v/>
      </c>
      <c r="J784" s="22">
        <f>IF(OR(A784="",C784="",I784=""),"",I784*H784*C784/60)</f>
        <v/>
      </c>
    </row>
    <row r="785">
      <c r="A785" s="35" t="n"/>
      <c r="B785" s="33" t="n"/>
      <c r="C785" s="31" t="n"/>
      <c r="D785" s="30" t="n"/>
      <c r="E785" s="33" t="n"/>
      <c r="F785" s="20">
        <f>IF(A785="","",WEEKNUM(A785,21))</f>
        <v/>
      </c>
      <c r="G785" s="21">
        <f>IF(OR(C785="",N(D785)=0),"",C785/D785)</f>
        <v/>
      </c>
      <c r="H785" s="21">
        <f>IF(A785="","",IFERROR(INDEX(Weight!$B$2:$B$1000,MATCH(IF(_xlfn.MAXIFS(Weight!$A$2:$A$1000,Weight!$A$2:$A$1000,"&lt;="&amp;A785)&gt;0,_xlfn.MAXIFS(Weight!$A$2:$A$1000,Weight!$A$2:$A$1000,"&lt;="&amp;A785),_xlfn.MINIFS(Weight!$A$2:$A$1000,Weight!$A$2:$A$1000,"&gt;0")),Weight!$A$2:$A$1000,0)),Settings!$B$6))</f>
        <v/>
      </c>
      <c r="I785" s="21">
        <f>IF(B785="","",IFERROR(INDEX(Settings!$B$10:$B$21,MATCH(B785,Settings!$A$10:$A$21,0)),4))</f>
        <v/>
      </c>
      <c r="J785" s="22">
        <f>IF(OR(A785="",C785="",I785=""),"",I785*H785*C785/60)</f>
        <v/>
      </c>
    </row>
    <row r="786">
      <c r="A786" s="35" t="n"/>
      <c r="B786" s="33" t="n"/>
      <c r="C786" s="31" t="n"/>
      <c r="D786" s="30" t="n"/>
      <c r="E786" s="33" t="n"/>
      <c r="F786" s="20">
        <f>IF(A786="","",WEEKNUM(A786,21))</f>
        <v/>
      </c>
      <c r="G786" s="21">
        <f>IF(OR(C786="",N(D786)=0),"",C786/D786)</f>
        <v/>
      </c>
      <c r="H786" s="21">
        <f>IF(A786="","",IFERROR(INDEX(Weight!$B$2:$B$1000,MATCH(IF(_xlfn.MAXIFS(Weight!$A$2:$A$1000,Weight!$A$2:$A$1000,"&lt;="&amp;A786)&gt;0,_xlfn.MAXIFS(Weight!$A$2:$A$1000,Weight!$A$2:$A$1000,"&lt;="&amp;A786),_xlfn.MINIFS(Weight!$A$2:$A$1000,Weight!$A$2:$A$1000,"&gt;0")),Weight!$A$2:$A$1000,0)),Settings!$B$6))</f>
        <v/>
      </c>
      <c r="I786" s="21">
        <f>IF(B786="","",IFERROR(INDEX(Settings!$B$10:$B$21,MATCH(B786,Settings!$A$10:$A$21,0)),4))</f>
        <v/>
      </c>
      <c r="J786" s="22">
        <f>IF(OR(A786="",C786="",I786=""),"",I786*H786*C786/60)</f>
        <v/>
      </c>
    </row>
    <row r="787">
      <c r="A787" s="35" t="n"/>
      <c r="B787" s="33" t="n"/>
      <c r="C787" s="31" t="n"/>
      <c r="D787" s="30" t="n"/>
      <c r="E787" s="33" t="n"/>
      <c r="F787" s="20">
        <f>IF(A787="","",WEEKNUM(A787,21))</f>
        <v/>
      </c>
      <c r="G787" s="21">
        <f>IF(OR(C787="",N(D787)=0),"",C787/D787)</f>
        <v/>
      </c>
      <c r="H787" s="21">
        <f>IF(A787="","",IFERROR(INDEX(Weight!$B$2:$B$1000,MATCH(IF(_xlfn.MAXIFS(Weight!$A$2:$A$1000,Weight!$A$2:$A$1000,"&lt;="&amp;A787)&gt;0,_xlfn.MAXIFS(Weight!$A$2:$A$1000,Weight!$A$2:$A$1000,"&lt;="&amp;A787),_xlfn.MINIFS(Weight!$A$2:$A$1000,Weight!$A$2:$A$1000,"&gt;0")),Weight!$A$2:$A$1000,0)),Settings!$B$6))</f>
        <v/>
      </c>
      <c r="I787" s="21">
        <f>IF(B787="","",IFERROR(INDEX(Settings!$B$10:$B$21,MATCH(B787,Settings!$A$10:$A$21,0)),4))</f>
        <v/>
      </c>
      <c r="J787" s="22">
        <f>IF(OR(A787="",C787="",I787=""),"",I787*H787*C787/60)</f>
        <v/>
      </c>
    </row>
    <row r="788">
      <c r="A788" s="35" t="n"/>
      <c r="B788" s="33" t="n"/>
      <c r="C788" s="31" t="n"/>
      <c r="D788" s="30" t="n"/>
      <c r="E788" s="33" t="n"/>
      <c r="F788" s="20">
        <f>IF(A788="","",WEEKNUM(A788,21))</f>
        <v/>
      </c>
      <c r="G788" s="21">
        <f>IF(OR(C788="",N(D788)=0),"",C788/D788)</f>
        <v/>
      </c>
      <c r="H788" s="21">
        <f>IF(A788="","",IFERROR(INDEX(Weight!$B$2:$B$1000,MATCH(IF(_xlfn.MAXIFS(Weight!$A$2:$A$1000,Weight!$A$2:$A$1000,"&lt;="&amp;A788)&gt;0,_xlfn.MAXIFS(Weight!$A$2:$A$1000,Weight!$A$2:$A$1000,"&lt;="&amp;A788),_xlfn.MINIFS(Weight!$A$2:$A$1000,Weight!$A$2:$A$1000,"&gt;0")),Weight!$A$2:$A$1000,0)),Settings!$B$6))</f>
        <v/>
      </c>
      <c r="I788" s="21">
        <f>IF(B788="","",IFERROR(INDEX(Settings!$B$10:$B$21,MATCH(B788,Settings!$A$10:$A$21,0)),4))</f>
        <v/>
      </c>
      <c r="J788" s="22">
        <f>IF(OR(A788="",C788="",I788=""),"",I788*H788*C788/60)</f>
        <v/>
      </c>
    </row>
    <row r="789">
      <c r="A789" s="35" t="n"/>
      <c r="B789" s="33" t="n"/>
      <c r="C789" s="31" t="n"/>
      <c r="D789" s="30" t="n"/>
      <c r="E789" s="33" t="n"/>
      <c r="F789" s="20">
        <f>IF(A789="","",WEEKNUM(A789,21))</f>
        <v/>
      </c>
      <c r="G789" s="21">
        <f>IF(OR(C789="",N(D789)=0),"",C789/D789)</f>
        <v/>
      </c>
      <c r="H789" s="21">
        <f>IF(A789="","",IFERROR(INDEX(Weight!$B$2:$B$1000,MATCH(IF(_xlfn.MAXIFS(Weight!$A$2:$A$1000,Weight!$A$2:$A$1000,"&lt;="&amp;A789)&gt;0,_xlfn.MAXIFS(Weight!$A$2:$A$1000,Weight!$A$2:$A$1000,"&lt;="&amp;A789),_xlfn.MINIFS(Weight!$A$2:$A$1000,Weight!$A$2:$A$1000,"&gt;0")),Weight!$A$2:$A$1000,0)),Settings!$B$6))</f>
        <v/>
      </c>
      <c r="I789" s="21">
        <f>IF(B789="","",IFERROR(INDEX(Settings!$B$10:$B$21,MATCH(B789,Settings!$A$10:$A$21,0)),4))</f>
        <v/>
      </c>
      <c r="J789" s="22">
        <f>IF(OR(A789="",C789="",I789=""),"",I789*H789*C789/60)</f>
        <v/>
      </c>
    </row>
    <row r="790">
      <c r="A790" s="35" t="n"/>
      <c r="B790" s="33" t="n"/>
      <c r="C790" s="31" t="n"/>
      <c r="D790" s="30" t="n"/>
      <c r="E790" s="33" t="n"/>
      <c r="F790" s="20">
        <f>IF(A790="","",WEEKNUM(A790,21))</f>
        <v/>
      </c>
      <c r="G790" s="21">
        <f>IF(OR(C790="",N(D790)=0),"",C790/D790)</f>
        <v/>
      </c>
      <c r="H790" s="21">
        <f>IF(A790="","",IFERROR(INDEX(Weight!$B$2:$B$1000,MATCH(IF(_xlfn.MAXIFS(Weight!$A$2:$A$1000,Weight!$A$2:$A$1000,"&lt;="&amp;A790)&gt;0,_xlfn.MAXIFS(Weight!$A$2:$A$1000,Weight!$A$2:$A$1000,"&lt;="&amp;A790),_xlfn.MINIFS(Weight!$A$2:$A$1000,Weight!$A$2:$A$1000,"&gt;0")),Weight!$A$2:$A$1000,0)),Settings!$B$6))</f>
        <v/>
      </c>
      <c r="I790" s="21">
        <f>IF(B790="","",IFERROR(INDEX(Settings!$B$10:$B$21,MATCH(B790,Settings!$A$10:$A$21,0)),4))</f>
        <v/>
      </c>
      <c r="J790" s="22">
        <f>IF(OR(A790="",C790="",I790=""),"",I790*H790*C790/60)</f>
        <v/>
      </c>
    </row>
    <row r="791">
      <c r="A791" s="35" t="n"/>
      <c r="B791" s="33" t="n"/>
      <c r="C791" s="31" t="n"/>
      <c r="D791" s="30" t="n"/>
      <c r="E791" s="33" t="n"/>
      <c r="F791" s="20">
        <f>IF(A791="","",WEEKNUM(A791,21))</f>
        <v/>
      </c>
      <c r="G791" s="21">
        <f>IF(OR(C791="",N(D791)=0),"",C791/D791)</f>
        <v/>
      </c>
      <c r="H791" s="21">
        <f>IF(A791="","",IFERROR(INDEX(Weight!$B$2:$B$1000,MATCH(IF(_xlfn.MAXIFS(Weight!$A$2:$A$1000,Weight!$A$2:$A$1000,"&lt;="&amp;A791)&gt;0,_xlfn.MAXIFS(Weight!$A$2:$A$1000,Weight!$A$2:$A$1000,"&lt;="&amp;A791),_xlfn.MINIFS(Weight!$A$2:$A$1000,Weight!$A$2:$A$1000,"&gt;0")),Weight!$A$2:$A$1000,0)),Settings!$B$6))</f>
        <v/>
      </c>
      <c r="I791" s="21">
        <f>IF(B791="","",IFERROR(INDEX(Settings!$B$10:$B$21,MATCH(B791,Settings!$A$10:$A$21,0)),4))</f>
        <v/>
      </c>
      <c r="J791" s="22">
        <f>IF(OR(A791="",C791="",I791=""),"",I791*H791*C791/60)</f>
        <v/>
      </c>
    </row>
    <row r="792">
      <c r="A792" s="35" t="n"/>
      <c r="B792" s="33" t="n"/>
      <c r="C792" s="31" t="n"/>
      <c r="D792" s="30" t="n"/>
      <c r="E792" s="33" t="n"/>
      <c r="F792" s="20">
        <f>IF(A792="","",WEEKNUM(A792,21))</f>
        <v/>
      </c>
      <c r="G792" s="21">
        <f>IF(OR(C792="",N(D792)=0),"",C792/D792)</f>
        <v/>
      </c>
      <c r="H792" s="21">
        <f>IF(A792="","",IFERROR(INDEX(Weight!$B$2:$B$1000,MATCH(IF(_xlfn.MAXIFS(Weight!$A$2:$A$1000,Weight!$A$2:$A$1000,"&lt;="&amp;A792)&gt;0,_xlfn.MAXIFS(Weight!$A$2:$A$1000,Weight!$A$2:$A$1000,"&lt;="&amp;A792),_xlfn.MINIFS(Weight!$A$2:$A$1000,Weight!$A$2:$A$1000,"&gt;0")),Weight!$A$2:$A$1000,0)),Settings!$B$6))</f>
        <v/>
      </c>
      <c r="I792" s="21">
        <f>IF(B792="","",IFERROR(INDEX(Settings!$B$10:$B$21,MATCH(B792,Settings!$A$10:$A$21,0)),4))</f>
        <v/>
      </c>
      <c r="J792" s="22">
        <f>IF(OR(A792="",C792="",I792=""),"",I792*H792*C792/60)</f>
        <v/>
      </c>
    </row>
    <row r="793">
      <c r="A793" s="35" t="n"/>
      <c r="B793" s="33" t="n"/>
      <c r="C793" s="31" t="n"/>
      <c r="D793" s="30" t="n"/>
      <c r="E793" s="33" t="n"/>
      <c r="F793" s="20">
        <f>IF(A793="","",WEEKNUM(A793,21))</f>
        <v/>
      </c>
      <c r="G793" s="21">
        <f>IF(OR(C793="",N(D793)=0),"",C793/D793)</f>
        <v/>
      </c>
      <c r="H793" s="21">
        <f>IF(A793="","",IFERROR(INDEX(Weight!$B$2:$B$1000,MATCH(IF(_xlfn.MAXIFS(Weight!$A$2:$A$1000,Weight!$A$2:$A$1000,"&lt;="&amp;A793)&gt;0,_xlfn.MAXIFS(Weight!$A$2:$A$1000,Weight!$A$2:$A$1000,"&lt;="&amp;A793),_xlfn.MINIFS(Weight!$A$2:$A$1000,Weight!$A$2:$A$1000,"&gt;0")),Weight!$A$2:$A$1000,0)),Settings!$B$6))</f>
        <v/>
      </c>
      <c r="I793" s="21">
        <f>IF(B793="","",IFERROR(INDEX(Settings!$B$10:$B$21,MATCH(B793,Settings!$A$10:$A$21,0)),4))</f>
        <v/>
      </c>
      <c r="J793" s="22">
        <f>IF(OR(A793="",C793="",I793=""),"",I793*H793*C793/60)</f>
        <v/>
      </c>
    </row>
    <row r="794">
      <c r="A794" s="35" t="n"/>
      <c r="B794" s="33" t="n"/>
      <c r="C794" s="31" t="n"/>
      <c r="D794" s="30" t="n"/>
      <c r="E794" s="33" t="n"/>
      <c r="F794" s="20">
        <f>IF(A794="","",WEEKNUM(A794,21))</f>
        <v/>
      </c>
      <c r="G794" s="21">
        <f>IF(OR(C794="",N(D794)=0),"",C794/D794)</f>
        <v/>
      </c>
      <c r="H794" s="21">
        <f>IF(A794="","",IFERROR(INDEX(Weight!$B$2:$B$1000,MATCH(IF(_xlfn.MAXIFS(Weight!$A$2:$A$1000,Weight!$A$2:$A$1000,"&lt;="&amp;A794)&gt;0,_xlfn.MAXIFS(Weight!$A$2:$A$1000,Weight!$A$2:$A$1000,"&lt;="&amp;A794),_xlfn.MINIFS(Weight!$A$2:$A$1000,Weight!$A$2:$A$1000,"&gt;0")),Weight!$A$2:$A$1000,0)),Settings!$B$6))</f>
        <v/>
      </c>
      <c r="I794" s="21">
        <f>IF(B794="","",IFERROR(INDEX(Settings!$B$10:$B$21,MATCH(B794,Settings!$A$10:$A$21,0)),4))</f>
        <v/>
      </c>
      <c r="J794" s="22">
        <f>IF(OR(A794="",C794="",I794=""),"",I794*H794*C794/60)</f>
        <v/>
      </c>
    </row>
    <row r="795">
      <c r="A795" s="35" t="n"/>
      <c r="B795" s="33" t="n"/>
      <c r="C795" s="31" t="n"/>
      <c r="D795" s="30" t="n"/>
      <c r="E795" s="33" t="n"/>
      <c r="F795" s="20">
        <f>IF(A795="","",WEEKNUM(A795,21))</f>
        <v/>
      </c>
      <c r="G795" s="21">
        <f>IF(OR(C795="",N(D795)=0),"",C795/D795)</f>
        <v/>
      </c>
      <c r="H795" s="21">
        <f>IF(A795="","",IFERROR(INDEX(Weight!$B$2:$B$1000,MATCH(IF(_xlfn.MAXIFS(Weight!$A$2:$A$1000,Weight!$A$2:$A$1000,"&lt;="&amp;A795)&gt;0,_xlfn.MAXIFS(Weight!$A$2:$A$1000,Weight!$A$2:$A$1000,"&lt;="&amp;A795),_xlfn.MINIFS(Weight!$A$2:$A$1000,Weight!$A$2:$A$1000,"&gt;0")),Weight!$A$2:$A$1000,0)),Settings!$B$6))</f>
        <v/>
      </c>
      <c r="I795" s="21">
        <f>IF(B795="","",IFERROR(INDEX(Settings!$B$10:$B$21,MATCH(B795,Settings!$A$10:$A$21,0)),4))</f>
        <v/>
      </c>
      <c r="J795" s="22">
        <f>IF(OR(A795="",C795="",I795=""),"",I795*H795*C795/60)</f>
        <v/>
      </c>
    </row>
    <row r="796">
      <c r="A796" s="35" t="n"/>
      <c r="B796" s="33" t="n"/>
      <c r="C796" s="31" t="n"/>
      <c r="D796" s="30" t="n"/>
      <c r="E796" s="33" t="n"/>
      <c r="F796" s="20">
        <f>IF(A796="","",WEEKNUM(A796,21))</f>
        <v/>
      </c>
      <c r="G796" s="21">
        <f>IF(OR(C796="",N(D796)=0),"",C796/D796)</f>
        <v/>
      </c>
      <c r="H796" s="21">
        <f>IF(A796="","",IFERROR(INDEX(Weight!$B$2:$B$1000,MATCH(IF(_xlfn.MAXIFS(Weight!$A$2:$A$1000,Weight!$A$2:$A$1000,"&lt;="&amp;A796)&gt;0,_xlfn.MAXIFS(Weight!$A$2:$A$1000,Weight!$A$2:$A$1000,"&lt;="&amp;A796),_xlfn.MINIFS(Weight!$A$2:$A$1000,Weight!$A$2:$A$1000,"&gt;0")),Weight!$A$2:$A$1000,0)),Settings!$B$6))</f>
        <v/>
      </c>
      <c r="I796" s="21">
        <f>IF(B796="","",IFERROR(INDEX(Settings!$B$10:$B$21,MATCH(B796,Settings!$A$10:$A$21,0)),4))</f>
        <v/>
      </c>
      <c r="J796" s="22">
        <f>IF(OR(A796="",C796="",I796=""),"",I796*H796*C796/60)</f>
        <v/>
      </c>
    </row>
    <row r="797">
      <c r="A797" s="35" t="n"/>
      <c r="B797" s="33" t="n"/>
      <c r="C797" s="31" t="n"/>
      <c r="D797" s="30" t="n"/>
      <c r="E797" s="33" t="n"/>
      <c r="F797" s="20">
        <f>IF(A797="","",WEEKNUM(A797,21))</f>
        <v/>
      </c>
      <c r="G797" s="21">
        <f>IF(OR(C797="",N(D797)=0),"",C797/D797)</f>
        <v/>
      </c>
      <c r="H797" s="21">
        <f>IF(A797="","",IFERROR(INDEX(Weight!$B$2:$B$1000,MATCH(IF(_xlfn.MAXIFS(Weight!$A$2:$A$1000,Weight!$A$2:$A$1000,"&lt;="&amp;A797)&gt;0,_xlfn.MAXIFS(Weight!$A$2:$A$1000,Weight!$A$2:$A$1000,"&lt;="&amp;A797),_xlfn.MINIFS(Weight!$A$2:$A$1000,Weight!$A$2:$A$1000,"&gt;0")),Weight!$A$2:$A$1000,0)),Settings!$B$6))</f>
        <v/>
      </c>
      <c r="I797" s="21">
        <f>IF(B797="","",IFERROR(INDEX(Settings!$B$10:$B$21,MATCH(B797,Settings!$A$10:$A$21,0)),4))</f>
        <v/>
      </c>
      <c r="J797" s="22">
        <f>IF(OR(A797="",C797="",I797=""),"",I797*H797*C797/60)</f>
        <v/>
      </c>
    </row>
    <row r="798">
      <c r="A798" s="35" t="n"/>
      <c r="B798" s="33" t="n"/>
      <c r="C798" s="31" t="n"/>
      <c r="D798" s="30" t="n"/>
      <c r="E798" s="33" t="n"/>
      <c r="F798" s="20">
        <f>IF(A798="","",WEEKNUM(A798,21))</f>
        <v/>
      </c>
      <c r="G798" s="21">
        <f>IF(OR(C798="",N(D798)=0),"",C798/D798)</f>
        <v/>
      </c>
      <c r="H798" s="21">
        <f>IF(A798="","",IFERROR(INDEX(Weight!$B$2:$B$1000,MATCH(IF(_xlfn.MAXIFS(Weight!$A$2:$A$1000,Weight!$A$2:$A$1000,"&lt;="&amp;A798)&gt;0,_xlfn.MAXIFS(Weight!$A$2:$A$1000,Weight!$A$2:$A$1000,"&lt;="&amp;A798),_xlfn.MINIFS(Weight!$A$2:$A$1000,Weight!$A$2:$A$1000,"&gt;0")),Weight!$A$2:$A$1000,0)),Settings!$B$6))</f>
        <v/>
      </c>
      <c r="I798" s="21">
        <f>IF(B798="","",IFERROR(INDEX(Settings!$B$10:$B$21,MATCH(B798,Settings!$A$10:$A$21,0)),4))</f>
        <v/>
      </c>
      <c r="J798" s="22">
        <f>IF(OR(A798="",C798="",I798=""),"",I798*H798*C798/60)</f>
        <v/>
      </c>
    </row>
    <row r="799">
      <c r="A799" s="35" t="n"/>
      <c r="B799" s="33" t="n"/>
      <c r="C799" s="31" t="n"/>
      <c r="D799" s="30" t="n"/>
      <c r="E799" s="33" t="n"/>
      <c r="F799" s="20">
        <f>IF(A799="","",WEEKNUM(A799,21))</f>
        <v/>
      </c>
      <c r="G799" s="21">
        <f>IF(OR(C799="",N(D799)=0),"",C799/D799)</f>
        <v/>
      </c>
      <c r="H799" s="21">
        <f>IF(A799="","",IFERROR(INDEX(Weight!$B$2:$B$1000,MATCH(IF(_xlfn.MAXIFS(Weight!$A$2:$A$1000,Weight!$A$2:$A$1000,"&lt;="&amp;A799)&gt;0,_xlfn.MAXIFS(Weight!$A$2:$A$1000,Weight!$A$2:$A$1000,"&lt;="&amp;A799),_xlfn.MINIFS(Weight!$A$2:$A$1000,Weight!$A$2:$A$1000,"&gt;0")),Weight!$A$2:$A$1000,0)),Settings!$B$6))</f>
        <v/>
      </c>
      <c r="I799" s="21">
        <f>IF(B799="","",IFERROR(INDEX(Settings!$B$10:$B$21,MATCH(B799,Settings!$A$10:$A$21,0)),4))</f>
        <v/>
      </c>
      <c r="J799" s="22">
        <f>IF(OR(A799="",C799="",I799=""),"",I799*H799*C799/60)</f>
        <v/>
      </c>
    </row>
    <row r="800">
      <c r="A800" s="35" t="n"/>
      <c r="B800" s="33" t="n"/>
      <c r="C800" s="31" t="n"/>
      <c r="D800" s="30" t="n"/>
      <c r="E800" s="33" t="n"/>
      <c r="F800" s="20">
        <f>IF(A800="","",WEEKNUM(A800,21))</f>
        <v/>
      </c>
      <c r="G800" s="21">
        <f>IF(OR(C800="",N(D800)=0),"",C800/D800)</f>
        <v/>
      </c>
      <c r="H800" s="21">
        <f>IF(A800="","",IFERROR(INDEX(Weight!$B$2:$B$1000,MATCH(IF(_xlfn.MAXIFS(Weight!$A$2:$A$1000,Weight!$A$2:$A$1000,"&lt;="&amp;A800)&gt;0,_xlfn.MAXIFS(Weight!$A$2:$A$1000,Weight!$A$2:$A$1000,"&lt;="&amp;A800),_xlfn.MINIFS(Weight!$A$2:$A$1000,Weight!$A$2:$A$1000,"&gt;0")),Weight!$A$2:$A$1000,0)),Settings!$B$6))</f>
        <v/>
      </c>
      <c r="I800" s="21">
        <f>IF(B800="","",IFERROR(INDEX(Settings!$B$10:$B$21,MATCH(B800,Settings!$A$10:$A$21,0)),4))</f>
        <v/>
      </c>
      <c r="J800" s="22">
        <f>IF(OR(A800="",C800="",I800=""),"",I800*H800*C800/60)</f>
        <v/>
      </c>
    </row>
    <row r="801">
      <c r="A801" s="35" t="n"/>
      <c r="B801" s="33" t="n"/>
      <c r="C801" s="31" t="n"/>
      <c r="D801" s="30" t="n"/>
      <c r="E801" s="33" t="n"/>
      <c r="F801" s="20">
        <f>IF(A801="","",WEEKNUM(A801,21))</f>
        <v/>
      </c>
      <c r="G801" s="21">
        <f>IF(OR(C801="",N(D801)=0),"",C801/D801)</f>
        <v/>
      </c>
      <c r="H801" s="21">
        <f>IF(A801="","",IFERROR(INDEX(Weight!$B$2:$B$1000,MATCH(IF(_xlfn.MAXIFS(Weight!$A$2:$A$1000,Weight!$A$2:$A$1000,"&lt;="&amp;A801)&gt;0,_xlfn.MAXIFS(Weight!$A$2:$A$1000,Weight!$A$2:$A$1000,"&lt;="&amp;A801),_xlfn.MINIFS(Weight!$A$2:$A$1000,Weight!$A$2:$A$1000,"&gt;0")),Weight!$A$2:$A$1000,0)),Settings!$B$6))</f>
        <v/>
      </c>
      <c r="I801" s="21">
        <f>IF(B801="","",IFERROR(INDEX(Settings!$B$10:$B$21,MATCH(B801,Settings!$A$10:$A$21,0)),4))</f>
        <v/>
      </c>
      <c r="J801" s="22">
        <f>IF(OR(A801="",C801="",I801=""),"",I801*H801*C801/60)</f>
        <v/>
      </c>
    </row>
    <row r="802">
      <c r="A802" s="35" t="n"/>
      <c r="B802" s="33" t="n"/>
      <c r="C802" s="31" t="n"/>
      <c r="D802" s="30" t="n"/>
      <c r="E802" s="33" t="n"/>
      <c r="F802" s="20">
        <f>IF(A802="","",WEEKNUM(A802,21))</f>
        <v/>
      </c>
      <c r="G802" s="21">
        <f>IF(OR(C802="",N(D802)=0),"",C802/D802)</f>
        <v/>
      </c>
      <c r="H802" s="21">
        <f>IF(A802="","",IFERROR(INDEX(Weight!$B$2:$B$1000,MATCH(IF(_xlfn.MAXIFS(Weight!$A$2:$A$1000,Weight!$A$2:$A$1000,"&lt;="&amp;A802)&gt;0,_xlfn.MAXIFS(Weight!$A$2:$A$1000,Weight!$A$2:$A$1000,"&lt;="&amp;A802),_xlfn.MINIFS(Weight!$A$2:$A$1000,Weight!$A$2:$A$1000,"&gt;0")),Weight!$A$2:$A$1000,0)),Settings!$B$6))</f>
        <v/>
      </c>
      <c r="I802" s="21">
        <f>IF(B802="","",IFERROR(INDEX(Settings!$B$10:$B$21,MATCH(B802,Settings!$A$10:$A$21,0)),4))</f>
        <v/>
      </c>
      <c r="J802" s="22">
        <f>IF(OR(A802="",C802="",I802=""),"",I802*H802*C802/60)</f>
        <v/>
      </c>
    </row>
    <row r="803">
      <c r="A803" s="35" t="n"/>
      <c r="B803" s="33" t="n"/>
      <c r="C803" s="31" t="n"/>
      <c r="D803" s="30" t="n"/>
      <c r="E803" s="33" t="n"/>
      <c r="F803" s="20">
        <f>IF(A803="","",WEEKNUM(A803,21))</f>
        <v/>
      </c>
      <c r="G803" s="21">
        <f>IF(OR(C803="",N(D803)=0),"",C803/D803)</f>
        <v/>
      </c>
      <c r="H803" s="21">
        <f>IF(A803="","",IFERROR(INDEX(Weight!$B$2:$B$1000,MATCH(IF(_xlfn.MAXIFS(Weight!$A$2:$A$1000,Weight!$A$2:$A$1000,"&lt;="&amp;A803)&gt;0,_xlfn.MAXIFS(Weight!$A$2:$A$1000,Weight!$A$2:$A$1000,"&lt;="&amp;A803),_xlfn.MINIFS(Weight!$A$2:$A$1000,Weight!$A$2:$A$1000,"&gt;0")),Weight!$A$2:$A$1000,0)),Settings!$B$6))</f>
        <v/>
      </c>
      <c r="I803" s="21">
        <f>IF(B803="","",IFERROR(INDEX(Settings!$B$10:$B$21,MATCH(B803,Settings!$A$10:$A$21,0)),4))</f>
        <v/>
      </c>
      <c r="J803" s="22">
        <f>IF(OR(A803="",C803="",I803=""),"",I803*H803*C803/60)</f>
        <v/>
      </c>
    </row>
    <row r="804">
      <c r="A804" s="35" t="n"/>
      <c r="B804" s="33" t="n"/>
      <c r="C804" s="31" t="n"/>
      <c r="D804" s="30" t="n"/>
      <c r="E804" s="33" t="n"/>
      <c r="F804" s="20">
        <f>IF(A804="","",WEEKNUM(A804,21))</f>
        <v/>
      </c>
      <c r="G804" s="21">
        <f>IF(OR(C804="",N(D804)=0),"",C804/D804)</f>
        <v/>
      </c>
      <c r="H804" s="21">
        <f>IF(A804="","",IFERROR(INDEX(Weight!$B$2:$B$1000,MATCH(IF(_xlfn.MAXIFS(Weight!$A$2:$A$1000,Weight!$A$2:$A$1000,"&lt;="&amp;A804)&gt;0,_xlfn.MAXIFS(Weight!$A$2:$A$1000,Weight!$A$2:$A$1000,"&lt;="&amp;A804),_xlfn.MINIFS(Weight!$A$2:$A$1000,Weight!$A$2:$A$1000,"&gt;0")),Weight!$A$2:$A$1000,0)),Settings!$B$6))</f>
        <v/>
      </c>
      <c r="I804" s="21">
        <f>IF(B804="","",IFERROR(INDEX(Settings!$B$10:$B$21,MATCH(B804,Settings!$A$10:$A$21,0)),4))</f>
        <v/>
      </c>
      <c r="J804" s="22">
        <f>IF(OR(A804="",C804="",I804=""),"",I804*H804*C804/60)</f>
        <v/>
      </c>
    </row>
    <row r="805">
      <c r="A805" s="35" t="n"/>
      <c r="B805" s="33" t="n"/>
      <c r="C805" s="31" t="n"/>
      <c r="D805" s="30" t="n"/>
      <c r="E805" s="33" t="n"/>
      <c r="F805" s="20">
        <f>IF(A805="","",WEEKNUM(A805,21))</f>
        <v/>
      </c>
      <c r="G805" s="21">
        <f>IF(OR(C805="",N(D805)=0),"",C805/D805)</f>
        <v/>
      </c>
      <c r="H805" s="21">
        <f>IF(A805="","",IFERROR(INDEX(Weight!$B$2:$B$1000,MATCH(IF(_xlfn.MAXIFS(Weight!$A$2:$A$1000,Weight!$A$2:$A$1000,"&lt;="&amp;A805)&gt;0,_xlfn.MAXIFS(Weight!$A$2:$A$1000,Weight!$A$2:$A$1000,"&lt;="&amp;A805),_xlfn.MINIFS(Weight!$A$2:$A$1000,Weight!$A$2:$A$1000,"&gt;0")),Weight!$A$2:$A$1000,0)),Settings!$B$6))</f>
        <v/>
      </c>
      <c r="I805" s="21">
        <f>IF(B805="","",IFERROR(INDEX(Settings!$B$10:$B$21,MATCH(B805,Settings!$A$10:$A$21,0)),4))</f>
        <v/>
      </c>
      <c r="J805" s="22">
        <f>IF(OR(A805="",C805="",I805=""),"",I805*H805*C805/60)</f>
        <v/>
      </c>
    </row>
    <row r="806">
      <c r="A806" s="35" t="n"/>
      <c r="B806" s="33" t="n"/>
      <c r="C806" s="31" t="n"/>
      <c r="D806" s="30" t="n"/>
      <c r="E806" s="33" t="n"/>
      <c r="F806" s="20">
        <f>IF(A806="","",WEEKNUM(A806,21))</f>
        <v/>
      </c>
      <c r="G806" s="21">
        <f>IF(OR(C806="",N(D806)=0),"",C806/D806)</f>
        <v/>
      </c>
      <c r="H806" s="21">
        <f>IF(A806="","",IFERROR(INDEX(Weight!$B$2:$B$1000,MATCH(IF(_xlfn.MAXIFS(Weight!$A$2:$A$1000,Weight!$A$2:$A$1000,"&lt;="&amp;A806)&gt;0,_xlfn.MAXIFS(Weight!$A$2:$A$1000,Weight!$A$2:$A$1000,"&lt;="&amp;A806),_xlfn.MINIFS(Weight!$A$2:$A$1000,Weight!$A$2:$A$1000,"&gt;0")),Weight!$A$2:$A$1000,0)),Settings!$B$6))</f>
        <v/>
      </c>
      <c r="I806" s="21">
        <f>IF(B806="","",IFERROR(INDEX(Settings!$B$10:$B$21,MATCH(B806,Settings!$A$10:$A$21,0)),4))</f>
        <v/>
      </c>
      <c r="J806" s="22">
        <f>IF(OR(A806="",C806="",I806=""),"",I806*H806*C806/60)</f>
        <v/>
      </c>
    </row>
    <row r="807">
      <c r="A807" s="35" t="n"/>
      <c r="B807" s="33" t="n"/>
      <c r="C807" s="31" t="n"/>
      <c r="D807" s="30" t="n"/>
      <c r="E807" s="33" t="n"/>
      <c r="F807" s="20">
        <f>IF(A807="","",WEEKNUM(A807,21))</f>
        <v/>
      </c>
      <c r="G807" s="21">
        <f>IF(OR(C807="",N(D807)=0),"",C807/D807)</f>
        <v/>
      </c>
      <c r="H807" s="21">
        <f>IF(A807="","",IFERROR(INDEX(Weight!$B$2:$B$1000,MATCH(IF(_xlfn.MAXIFS(Weight!$A$2:$A$1000,Weight!$A$2:$A$1000,"&lt;="&amp;A807)&gt;0,_xlfn.MAXIFS(Weight!$A$2:$A$1000,Weight!$A$2:$A$1000,"&lt;="&amp;A807),_xlfn.MINIFS(Weight!$A$2:$A$1000,Weight!$A$2:$A$1000,"&gt;0")),Weight!$A$2:$A$1000,0)),Settings!$B$6))</f>
        <v/>
      </c>
      <c r="I807" s="21">
        <f>IF(B807="","",IFERROR(INDEX(Settings!$B$10:$B$21,MATCH(B807,Settings!$A$10:$A$21,0)),4))</f>
        <v/>
      </c>
      <c r="J807" s="22">
        <f>IF(OR(A807="",C807="",I807=""),"",I807*H807*C807/60)</f>
        <v/>
      </c>
    </row>
    <row r="808">
      <c r="A808" s="35" t="n"/>
      <c r="B808" s="33" t="n"/>
      <c r="C808" s="31" t="n"/>
      <c r="D808" s="30" t="n"/>
      <c r="E808" s="33" t="n"/>
      <c r="F808" s="20">
        <f>IF(A808="","",WEEKNUM(A808,21))</f>
        <v/>
      </c>
      <c r="G808" s="21">
        <f>IF(OR(C808="",N(D808)=0),"",C808/D808)</f>
        <v/>
      </c>
      <c r="H808" s="21">
        <f>IF(A808="","",IFERROR(INDEX(Weight!$B$2:$B$1000,MATCH(IF(_xlfn.MAXIFS(Weight!$A$2:$A$1000,Weight!$A$2:$A$1000,"&lt;="&amp;A808)&gt;0,_xlfn.MAXIFS(Weight!$A$2:$A$1000,Weight!$A$2:$A$1000,"&lt;="&amp;A808),_xlfn.MINIFS(Weight!$A$2:$A$1000,Weight!$A$2:$A$1000,"&gt;0")),Weight!$A$2:$A$1000,0)),Settings!$B$6))</f>
        <v/>
      </c>
      <c r="I808" s="21">
        <f>IF(B808="","",IFERROR(INDEX(Settings!$B$10:$B$21,MATCH(B808,Settings!$A$10:$A$21,0)),4))</f>
        <v/>
      </c>
      <c r="J808" s="22">
        <f>IF(OR(A808="",C808="",I808=""),"",I808*H808*C808/60)</f>
        <v/>
      </c>
    </row>
    <row r="809">
      <c r="A809" s="35" t="n"/>
      <c r="B809" s="33" t="n"/>
      <c r="C809" s="31" t="n"/>
      <c r="D809" s="30" t="n"/>
      <c r="E809" s="33" t="n"/>
      <c r="F809" s="20">
        <f>IF(A809="","",WEEKNUM(A809,21))</f>
        <v/>
      </c>
      <c r="G809" s="21">
        <f>IF(OR(C809="",N(D809)=0),"",C809/D809)</f>
        <v/>
      </c>
      <c r="H809" s="21">
        <f>IF(A809="","",IFERROR(INDEX(Weight!$B$2:$B$1000,MATCH(IF(_xlfn.MAXIFS(Weight!$A$2:$A$1000,Weight!$A$2:$A$1000,"&lt;="&amp;A809)&gt;0,_xlfn.MAXIFS(Weight!$A$2:$A$1000,Weight!$A$2:$A$1000,"&lt;="&amp;A809),_xlfn.MINIFS(Weight!$A$2:$A$1000,Weight!$A$2:$A$1000,"&gt;0")),Weight!$A$2:$A$1000,0)),Settings!$B$6))</f>
        <v/>
      </c>
      <c r="I809" s="21">
        <f>IF(B809="","",IFERROR(INDEX(Settings!$B$10:$B$21,MATCH(B809,Settings!$A$10:$A$21,0)),4))</f>
        <v/>
      </c>
      <c r="J809" s="22">
        <f>IF(OR(A809="",C809="",I809=""),"",I809*H809*C809/60)</f>
        <v/>
      </c>
    </row>
    <row r="810">
      <c r="A810" s="35" t="n"/>
      <c r="B810" s="33" t="n"/>
      <c r="C810" s="31" t="n"/>
      <c r="D810" s="30" t="n"/>
      <c r="E810" s="33" t="n"/>
      <c r="F810" s="20">
        <f>IF(A810="","",WEEKNUM(A810,21))</f>
        <v/>
      </c>
      <c r="G810" s="21">
        <f>IF(OR(C810="",N(D810)=0),"",C810/D810)</f>
        <v/>
      </c>
      <c r="H810" s="21">
        <f>IF(A810="","",IFERROR(INDEX(Weight!$B$2:$B$1000,MATCH(IF(_xlfn.MAXIFS(Weight!$A$2:$A$1000,Weight!$A$2:$A$1000,"&lt;="&amp;A810)&gt;0,_xlfn.MAXIFS(Weight!$A$2:$A$1000,Weight!$A$2:$A$1000,"&lt;="&amp;A810),_xlfn.MINIFS(Weight!$A$2:$A$1000,Weight!$A$2:$A$1000,"&gt;0")),Weight!$A$2:$A$1000,0)),Settings!$B$6))</f>
        <v/>
      </c>
      <c r="I810" s="21">
        <f>IF(B810="","",IFERROR(INDEX(Settings!$B$10:$B$21,MATCH(B810,Settings!$A$10:$A$21,0)),4))</f>
        <v/>
      </c>
      <c r="J810" s="22">
        <f>IF(OR(A810="",C810="",I810=""),"",I810*H810*C810/60)</f>
        <v/>
      </c>
    </row>
    <row r="811">
      <c r="A811" s="35" t="n"/>
      <c r="B811" s="33" t="n"/>
      <c r="C811" s="31" t="n"/>
      <c r="D811" s="30" t="n"/>
      <c r="E811" s="33" t="n"/>
      <c r="F811" s="20">
        <f>IF(A811="","",WEEKNUM(A811,21))</f>
        <v/>
      </c>
      <c r="G811" s="21">
        <f>IF(OR(C811="",N(D811)=0),"",C811/D811)</f>
        <v/>
      </c>
      <c r="H811" s="21">
        <f>IF(A811="","",IFERROR(INDEX(Weight!$B$2:$B$1000,MATCH(IF(_xlfn.MAXIFS(Weight!$A$2:$A$1000,Weight!$A$2:$A$1000,"&lt;="&amp;A811)&gt;0,_xlfn.MAXIFS(Weight!$A$2:$A$1000,Weight!$A$2:$A$1000,"&lt;="&amp;A811),_xlfn.MINIFS(Weight!$A$2:$A$1000,Weight!$A$2:$A$1000,"&gt;0")),Weight!$A$2:$A$1000,0)),Settings!$B$6))</f>
        <v/>
      </c>
      <c r="I811" s="21">
        <f>IF(B811="","",IFERROR(INDEX(Settings!$B$10:$B$21,MATCH(B811,Settings!$A$10:$A$21,0)),4))</f>
        <v/>
      </c>
      <c r="J811" s="22">
        <f>IF(OR(A811="",C811="",I811=""),"",I811*H811*C811/60)</f>
        <v/>
      </c>
    </row>
    <row r="812">
      <c r="A812" s="35" t="n"/>
      <c r="B812" s="33" t="n"/>
      <c r="C812" s="31" t="n"/>
      <c r="D812" s="30" t="n"/>
      <c r="E812" s="33" t="n"/>
      <c r="F812" s="20">
        <f>IF(A812="","",WEEKNUM(A812,21))</f>
        <v/>
      </c>
      <c r="G812" s="21">
        <f>IF(OR(C812="",N(D812)=0),"",C812/D812)</f>
        <v/>
      </c>
      <c r="H812" s="21">
        <f>IF(A812="","",IFERROR(INDEX(Weight!$B$2:$B$1000,MATCH(IF(_xlfn.MAXIFS(Weight!$A$2:$A$1000,Weight!$A$2:$A$1000,"&lt;="&amp;A812)&gt;0,_xlfn.MAXIFS(Weight!$A$2:$A$1000,Weight!$A$2:$A$1000,"&lt;="&amp;A812),_xlfn.MINIFS(Weight!$A$2:$A$1000,Weight!$A$2:$A$1000,"&gt;0")),Weight!$A$2:$A$1000,0)),Settings!$B$6))</f>
        <v/>
      </c>
      <c r="I812" s="21">
        <f>IF(B812="","",IFERROR(INDEX(Settings!$B$10:$B$21,MATCH(B812,Settings!$A$10:$A$21,0)),4))</f>
        <v/>
      </c>
      <c r="J812" s="22">
        <f>IF(OR(A812="",C812="",I812=""),"",I812*H812*C812/60)</f>
        <v/>
      </c>
    </row>
    <row r="813">
      <c r="A813" s="35" t="n"/>
      <c r="B813" s="33" t="n"/>
      <c r="C813" s="31" t="n"/>
      <c r="D813" s="30" t="n"/>
      <c r="E813" s="33" t="n"/>
      <c r="F813" s="20">
        <f>IF(A813="","",WEEKNUM(A813,21))</f>
        <v/>
      </c>
      <c r="G813" s="21">
        <f>IF(OR(C813="",N(D813)=0),"",C813/D813)</f>
        <v/>
      </c>
      <c r="H813" s="21">
        <f>IF(A813="","",IFERROR(INDEX(Weight!$B$2:$B$1000,MATCH(IF(_xlfn.MAXIFS(Weight!$A$2:$A$1000,Weight!$A$2:$A$1000,"&lt;="&amp;A813)&gt;0,_xlfn.MAXIFS(Weight!$A$2:$A$1000,Weight!$A$2:$A$1000,"&lt;="&amp;A813),_xlfn.MINIFS(Weight!$A$2:$A$1000,Weight!$A$2:$A$1000,"&gt;0")),Weight!$A$2:$A$1000,0)),Settings!$B$6))</f>
        <v/>
      </c>
      <c r="I813" s="21">
        <f>IF(B813="","",IFERROR(INDEX(Settings!$B$10:$B$21,MATCH(B813,Settings!$A$10:$A$21,0)),4))</f>
        <v/>
      </c>
      <c r="J813" s="22">
        <f>IF(OR(A813="",C813="",I813=""),"",I813*H813*C813/60)</f>
        <v/>
      </c>
    </row>
    <row r="814">
      <c r="A814" s="35" t="n"/>
      <c r="B814" s="33" t="n"/>
      <c r="C814" s="31" t="n"/>
      <c r="D814" s="30" t="n"/>
      <c r="E814" s="33" t="n"/>
      <c r="F814" s="20">
        <f>IF(A814="","",WEEKNUM(A814,21))</f>
        <v/>
      </c>
      <c r="G814" s="21">
        <f>IF(OR(C814="",N(D814)=0),"",C814/D814)</f>
        <v/>
      </c>
      <c r="H814" s="21">
        <f>IF(A814="","",IFERROR(INDEX(Weight!$B$2:$B$1000,MATCH(IF(_xlfn.MAXIFS(Weight!$A$2:$A$1000,Weight!$A$2:$A$1000,"&lt;="&amp;A814)&gt;0,_xlfn.MAXIFS(Weight!$A$2:$A$1000,Weight!$A$2:$A$1000,"&lt;="&amp;A814),_xlfn.MINIFS(Weight!$A$2:$A$1000,Weight!$A$2:$A$1000,"&gt;0")),Weight!$A$2:$A$1000,0)),Settings!$B$6))</f>
        <v/>
      </c>
      <c r="I814" s="21">
        <f>IF(B814="","",IFERROR(INDEX(Settings!$B$10:$B$21,MATCH(B814,Settings!$A$10:$A$21,0)),4))</f>
        <v/>
      </c>
      <c r="J814" s="22">
        <f>IF(OR(A814="",C814="",I814=""),"",I814*H814*C814/60)</f>
        <v/>
      </c>
    </row>
    <row r="815">
      <c r="A815" s="35" t="n"/>
      <c r="B815" s="33" t="n"/>
      <c r="C815" s="31" t="n"/>
      <c r="D815" s="30" t="n"/>
      <c r="E815" s="33" t="n"/>
      <c r="F815" s="20">
        <f>IF(A815="","",WEEKNUM(A815,21))</f>
        <v/>
      </c>
      <c r="G815" s="21">
        <f>IF(OR(C815="",N(D815)=0),"",C815/D815)</f>
        <v/>
      </c>
      <c r="H815" s="21">
        <f>IF(A815="","",IFERROR(INDEX(Weight!$B$2:$B$1000,MATCH(IF(_xlfn.MAXIFS(Weight!$A$2:$A$1000,Weight!$A$2:$A$1000,"&lt;="&amp;A815)&gt;0,_xlfn.MAXIFS(Weight!$A$2:$A$1000,Weight!$A$2:$A$1000,"&lt;="&amp;A815),_xlfn.MINIFS(Weight!$A$2:$A$1000,Weight!$A$2:$A$1000,"&gt;0")),Weight!$A$2:$A$1000,0)),Settings!$B$6))</f>
        <v/>
      </c>
      <c r="I815" s="21">
        <f>IF(B815="","",IFERROR(INDEX(Settings!$B$10:$B$21,MATCH(B815,Settings!$A$10:$A$21,0)),4))</f>
        <v/>
      </c>
      <c r="J815" s="22">
        <f>IF(OR(A815="",C815="",I815=""),"",I815*H815*C815/60)</f>
        <v/>
      </c>
    </row>
    <row r="816">
      <c r="A816" s="35" t="n"/>
      <c r="B816" s="33" t="n"/>
      <c r="C816" s="31" t="n"/>
      <c r="D816" s="30" t="n"/>
      <c r="E816" s="33" t="n"/>
      <c r="F816" s="20">
        <f>IF(A816="","",WEEKNUM(A816,21))</f>
        <v/>
      </c>
      <c r="G816" s="21">
        <f>IF(OR(C816="",N(D816)=0),"",C816/D816)</f>
        <v/>
      </c>
      <c r="H816" s="21">
        <f>IF(A816="","",IFERROR(INDEX(Weight!$B$2:$B$1000,MATCH(IF(_xlfn.MAXIFS(Weight!$A$2:$A$1000,Weight!$A$2:$A$1000,"&lt;="&amp;A816)&gt;0,_xlfn.MAXIFS(Weight!$A$2:$A$1000,Weight!$A$2:$A$1000,"&lt;="&amp;A816),_xlfn.MINIFS(Weight!$A$2:$A$1000,Weight!$A$2:$A$1000,"&gt;0")),Weight!$A$2:$A$1000,0)),Settings!$B$6))</f>
        <v/>
      </c>
      <c r="I816" s="21">
        <f>IF(B816="","",IFERROR(INDEX(Settings!$B$10:$B$21,MATCH(B816,Settings!$A$10:$A$21,0)),4))</f>
        <v/>
      </c>
      <c r="J816" s="22">
        <f>IF(OR(A816="",C816="",I816=""),"",I816*H816*C816/60)</f>
        <v/>
      </c>
    </row>
    <row r="817">
      <c r="A817" s="35" t="n"/>
      <c r="B817" s="33" t="n"/>
      <c r="C817" s="31" t="n"/>
      <c r="D817" s="30" t="n"/>
      <c r="E817" s="33" t="n"/>
      <c r="F817" s="20">
        <f>IF(A817="","",WEEKNUM(A817,21))</f>
        <v/>
      </c>
      <c r="G817" s="21">
        <f>IF(OR(C817="",N(D817)=0),"",C817/D817)</f>
        <v/>
      </c>
      <c r="H817" s="21">
        <f>IF(A817="","",IFERROR(INDEX(Weight!$B$2:$B$1000,MATCH(IF(_xlfn.MAXIFS(Weight!$A$2:$A$1000,Weight!$A$2:$A$1000,"&lt;="&amp;A817)&gt;0,_xlfn.MAXIFS(Weight!$A$2:$A$1000,Weight!$A$2:$A$1000,"&lt;="&amp;A817),_xlfn.MINIFS(Weight!$A$2:$A$1000,Weight!$A$2:$A$1000,"&gt;0")),Weight!$A$2:$A$1000,0)),Settings!$B$6))</f>
        <v/>
      </c>
      <c r="I817" s="21">
        <f>IF(B817="","",IFERROR(INDEX(Settings!$B$10:$B$21,MATCH(B817,Settings!$A$10:$A$21,0)),4))</f>
        <v/>
      </c>
      <c r="J817" s="22">
        <f>IF(OR(A817="",C817="",I817=""),"",I817*H817*C817/60)</f>
        <v/>
      </c>
    </row>
    <row r="818">
      <c r="A818" s="35" t="n"/>
      <c r="B818" s="33" t="n"/>
      <c r="C818" s="31" t="n"/>
      <c r="D818" s="30" t="n"/>
      <c r="E818" s="33" t="n"/>
      <c r="F818" s="20">
        <f>IF(A818="","",WEEKNUM(A818,21))</f>
        <v/>
      </c>
      <c r="G818" s="21">
        <f>IF(OR(C818="",N(D818)=0),"",C818/D818)</f>
        <v/>
      </c>
      <c r="H818" s="21">
        <f>IF(A818="","",IFERROR(INDEX(Weight!$B$2:$B$1000,MATCH(IF(_xlfn.MAXIFS(Weight!$A$2:$A$1000,Weight!$A$2:$A$1000,"&lt;="&amp;A818)&gt;0,_xlfn.MAXIFS(Weight!$A$2:$A$1000,Weight!$A$2:$A$1000,"&lt;="&amp;A818),_xlfn.MINIFS(Weight!$A$2:$A$1000,Weight!$A$2:$A$1000,"&gt;0")),Weight!$A$2:$A$1000,0)),Settings!$B$6))</f>
        <v/>
      </c>
      <c r="I818" s="21">
        <f>IF(B818="","",IFERROR(INDEX(Settings!$B$10:$B$21,MATCH(B818,Settings!$A$10:$A$21,0)),4))</f>
        <v/>
      </c>
      <c r="J818" s="22">
        <f>IF(OR(A818="",C818="",I818=""),"",I818*H818*C818/60)</f>
        <v/>
      </c>
    </row>
    <row r="819">
      <c r="A819" s="35" t="n"/>
      <c r="B819" s="33" t="n"/>
      <c r="C819" s="31" t="n"/>
      <c r="D819" s="30" t="n"/>
      <c r="E819" s="33" t="n"/>
      <c r="F819" s="20">
        <f>IF(A819="","",WEEKNUM(A819,21))</f>
        <v/>
      </c>
      <c r="G819" s="21">
        <f>IF(OR(C819="",N(D819)=0),"",C819/D819)</f>
        <v/>
      </c>
      <c r="H819" s="21">
        <f>IF(A819="","",IFERROR(INDEX(Weight!$B$2:$B$1000,MATCH(IF(_xlfn.MAXIFS(Weight!$A$2:$A$1000,Weight!$A$2:$A$1000,"&lt;="&amp;A819)&gt;0,_xlfn.MAXIFS(Weight!$A$2:$A$1000,Weight!$A$2:$A$1000,"&lt;="&amp;A819),_xlfn.MINIFS(Weight!$A$2:$A$1000,Weight!$A$2:$A$1000,"&gt;0")),Weight!$A$2:$A$1000,0)),Settings!$B$6))</f>
        <v/>
      </c>
      <c r="I819" s="21">
        <f>IF(B819="","",IFERROR(INDEX(Settings!$B$10:$B$21,MATCH(B819,Settings!$A$10:$A$21,0)),4))</f>
        <v/>
      </c>
      <c r="J819" s="22">
        <f>IF(OR(A819="",C819="",I819=""),"",I819*H819*C819/60)</f>
        <v/>
      </c>
    </row>
    <row r="820">
      <c r="A820" s="35" t="n"/>
      <c r="B820" s="33" t="n"/>
      <c r="C820" s="31" t="n"/>
      <c r="D820" s="30" t="n"/>
      <c r="E820" s="33" t="n"/>
      <c r="F820" s="20">
        <f>IF(A820="","",WEEKNUM(A820,21))</f>
        <v/>
      </c>
      <c r="G820" s="21">
        <f>IF(OR(C820="",N(D820)=0),"",C820/D820)</f>
        <v/>
      </c>
      <c r="H820" s="21">
        <f>IF(A820="","",IFERROR(INDEX(Weight!$B$2:$B$1000,MATCH(IF(_xlfn.MAXIFS(Weight!$A$2:$A$1000,Weight!$A$2:$A$1000,"&lt;="&amp;A820)&gt;0,_xlfn.MAXIFS(Weight!$A$2:$A$1000,Weight!$A$2:$A$1000,"&lt;="&amp;A820),_xlfn.MINIFS(Weight!$A$2:$A$1000,Weight!$A$2:$A$1000,"&gt;0")),Weight!$A$2:$A$1000,0)),Settings!$B$6))</f>
        <v/>
      </c>
      <c r="I820" s="21">
        <f>IF(B820="","",IFERROR(INDEX(Settings!$B$10:$B$21,MATCH(B820,Settings!$A$10:$A$21,0)),4))</f>
        <v/>
      </c>
      <c r="J820" s="22">
        <f>IF(OR(A820="",C820="",I820=""),"",I820*H820*C820/60)</f>
        <v/>
      </c>
    </row>
    <row r="821">
      <c r="A821" s="35" t="n"/>
      <c r="B821" s="33" t="n"/>
      <c r="C821" s="31" t="n"/>
      <c r="D821" s="30" t="n"/>
      <c r="E821" s="33" t="n"/>
      <c r="F821" s="20">
        <f>IF(A821="","",WEEKNUM(A821,21))</f>
        <v/>
      </c>
      <c r="G821" s="21">
        <f>IF(OR(C821="",N(D821)=0),"",C821/D821)</f>
        <v/>
      </c>
      <c r="H821" s="21">
        <f>IF(A821="","",IFERROR(INDEX(Weight!$B$2:$B$1000,MATCH(IF(_xlfn.MAXIFS(Weight!$A$2:$A$1000,Weight!$A$2:$A$1000,"&lt;="&amp;A821)&gt;0,_xlfn.MAXIFS(Weight!$A$2:$A$1000,Weight!$A$2:$A$1000,"&lt;="&amp;A821),_xlfn.MINIFS(Weight!$A$2:$A$1000,Weight!$A$2:$A$1000,"&gt;0")),Weight!$A$2:$A$1000,0)),Settings!$B$6))</f>
        <v/>
      </c>
      <c r="I821" s="21">
        <f>IF(B821="","",IFERROR(INDEX(Settings!$B$10:$B$21,MATCH(B821,Settings!$A$10:$A$21,0)),4))</f>
        <v/>
      </c>
      <c r="J821" s="22">
        <f>IF(OR(A821="",C821="",I821=""),"",I821*H821*C821/60)</f>
        <v/>
      </c>
    </row>
    <row r="822">
      <c r="A822" s="35" t="n"/>
      <c r="B822" s="33" t="n"/>
      <c r="C822" s="31" t="n"/>
      <c r="D822" s="30" t="n"/>
      <c r="E822" s="33" t="n"/>
      <c r="F822" s="20">
        <f>IF(A822="","",WEEKNUM(A822,21))</f>
        <v/>
      </c>
      <c r="G822" s="21">
        <f>IF(OR(C822="",N(D822)=0),"",C822/D822)</f>
        <v/>
      </c>
      <c r="H822" s="21">
        <f>IF(A822="","",IFERROR(INDEX(Weight!$B$2:$B$1000,MATCH(IF(_xlfn.MAXIFS(Weight!$A$2:$A$1000,Weight!$A$2:$A$1000,"&lt;="&amp;A822)&gt;0,_xlfn.MAXIFS(Weight!$A$2:$A$1000,Weight!$A$2:$A$1000,"&lt;="&amp;A822),_xlfn.MINIFS(Weight!$A$2:$A$1000,Weight!$A$2:$A$1000,"&gt;0")),Weight!$A$2:$A$1000,0)),Settings!$B$6))</f>
        <v/>
      </c>
      <c r="I822" s="21">
        <f>IF(B822="","",IFERROR(INDEX(Settings!$B$10:$B$21,MATCH(B822,Settings!$A$10:$A$21,0)),4))</f>
        <v/>
      </c>
      <c r="J822" s="22">
        <f>IF(OR(A822="",C822="",I822=""),"",I822*H822*C822/60)</f>
        <v/>
      </c>
    </row>
    <row r="823">
      <c r="A823" s="35" t="n"/>
      <c r="B823" s="33" t="n"/>
      <c r="C823" s="31" t="n"/>
      <c r="D823" s="30" t="n"/>
      <c r="E823" s="33" t="n"/>
      <c r="F823" s="20">
        <f>IF(A823="","",WEEKNUM(A823,21))</f>
        <v/>
      </c>
      <c r="G823" s="21">
        <f>IF(OR(C823="",N(D823)=0),"",C823/D823)</f>
        <v/>
      </c>
      <c r="H823" s="21">
        <f>IF(A823="","",IFERROR(INDEX(Weight!$B$2:$B$1000,MATCH(IF(_xlfn.MAXIFS(Weight!$A$2:$A$1000,Weight!$A$2:$A$1000,"&lt;="&amp;A823)&gt;0,_xlfn.MAXIFS(Weight!$A$2:$A$1000,Weight!$A$2:$A$1000,"&lt;="&amp;A823),_xlfn.MINIFS(Weight!$A$2:$A$1000,Weight!$A$2:$A$1000,"&gt;0")),Weight!$A$2:$A$1000,0)),Settings!$B$6))</f>
        <v/>
      </c>
      <c r="I823" s="21">
        <f>IF(B823="","",IFERROR(INDEX(Settings!$B$10:$B$21,MATCH(B823,Settings!$A$10:$A$21,0)),4))</f>
        <v/>
      </c>
      <c r="J823" s="22">
        <f>IF(OR(A823="",C823="",I823=""),"",I823*H823*C823/60)</f>
        <v/>
      </c>
    </row>
    <row r="824">
      <c r="A824" s="35" t="n"/>
      <c r="B824" s="33" t="n"/>
      <c r="C824" s="31" t="n"/>
      <c r="D824" s="30" t="n"/>
      <c r="E824" s="33" t="n"/>
      <c r="F824" s="20">
        <f>IF(A824="","",WEEKNUM(A824,21))</f>
        <v/>
      </c>
      <c r="G824" s="21">
        <f>IF(OR(C824="",N(D824)=0),"",C824/D824)</f>
        <v/>
      </c>
      <c r="H824" s="21">
        <f>IF(A824="","",IFERROR(INDEX(Weight!$B$2:$B$1000,MATCH(IF(_xlfn.MAXIFS(Weight!$A$2:$A$1000,Weight!$A$2:$A$1000,"&lt;="&amp;A824)&gt;0,_xlfn.MAXIFS(Weight!$A$2:$A$1000,Weight!$A$2:$A$1000,"&lt;="&amp;A824),_xlfn.MINIFS(Weight!$A$2:$A$1000,Weight!$A$2:$A$1000,"&gt;0")),Weight!$A$2:$A$1000,0)),Settings!$B$6))</f>
        <v/>
      </c>
      <c r="I824" s="21">
        <f>IF(B824="","",IFERROR(INDEX(Settings!$B$10:$B$21,MATCH(B824,Settings!$A$10:$A$21,0)),4))</f>
        <v/>
      </c>
      <c r="J824" s="22">
        <f>IF(OR(A824="",C824="",I824=""),"",I824*H824*C824/60)</f>
        <v/>
      </c>
    </row>
    <row r="825">
      <c r="A825" s="35" t="n"/>
      <c r="B825" s="33" t="n"/>
      <c r="C825" s="31" t="n"/>
      <c r="D825" s="30" t="n"/>
      <c r="E825" s="33" t="n"/>
      <c r="F825" s="20">
        <f>IF(A825="","",WEEKNUM(A825,21))</f>
        <v/>
      </c>
      <c r="G825" s="21">
        <f>IF(OR(C825="",N(D825)=0),"",C825/D825)</f>
        <v/>
      </c>
      <c r="H825" s="21">
        <f>IF(A825="","",IFERROR(INDEX(Weight!$B$2:$B$1000,MATCH(IF(_xlfn.MAXIFS(Weight!$A$2:$A$1000,Weight!$A$2:$A$1000,"&lt;="&amp;A825)&gt;0,_xlfn.MAXIFS(Weight!$A$2:$A$1000,Weight!$A$2:$A$1000,"&lt;="&amp;A825),_xlfn.MINIFS(Weight!$A$2:$A$1000,Weight!$A$2:$A$1000,"&gt;0")),Weight!$A$2:$A$1000,0)),Settings!$B$6))</f>
        <v/>
      </c>
      <c r="I825" s="21">
        <f>IF(B825="","",IFERROR(INDEX(Settings!$B$10:$B$21,MATCH(B825,Settings!$A$10:$A$21,0)),4))</f>
        <v/>
      </c>
      <c r="J825" s="22">
        <f>IF(OR(A825="",C825="",I825=""),"",I825*H825*C825/60)</f>
        <v/>
      </c>
    </row>
    <row r="826">
      <c r="A826" s="35" t="n"/>
      <c r="B826" s="33" t="n"/>
      <c r="C826" s="31" t="n"/>
      <c r="D826" s="30" t="n"/>
      <c r="E826" s="33" t="n"/>
      <c r="F826" s="20">
        <f>IF(A826="","",WEEKNUM(A826,21))</f>
        <v/>
      </c>
      <c r="G826" s="21">
        <f>IF(OR(C826="",N(D826)=0),"",C826/D826)</f>
        <v/>
      </c>
      <c r="H826" s="21">
        <f>IF(A826="","",IFERROR(INDEX(Weight!$B$2:$B$1000,MATCH(IF(_xlfn.MAXIFS(Weight!$A$2:$A$1000,Weight!$A$2:$A$1000,"&lt;="&amp;A826)&gt;0,_xlfn.MAXIFS(Weight!$A$2:$A$1000,Weight!$A$2:$A$1000,"&lt;="&amp;A826),_xlfn.MINIFS(Weight!$A$2:$A$1000,Weight!$A$2:$A$1000,"&gt;0")),Weight!$A$2:$A$1000,0)),Settings!$B$6))</f>
        <v/>
      </c>
      <c r="I826" s="21">
        <f>IF(B826="","",IFERROR(INDEX(Settings!$B$10:$B$21,MATCH(B826,Settings!$A$10:$A$21,0)),4))</f>
        <v/>
      </c>
      <c r="J826" s="22">
        <f>IF(OR(A826="",C826="",I826=""),"",I826*H826*C826/60)</f>
        <v/>
      </c>
    </row>
    <row r="827">
      <c r="A827" s="35" t="n"/>
      <c r="B827" s="33" t="n"/>
      <c r="C827" s="31" t="n"/>
      <c r="D827" s="30" t="n"/>
      <c r="E827" s="33" t="n"/>
      <c r="F827" s="20">
        <f>IF(A827="","",WEEKNUM(A827,21))</f>
        <v/>
      </c>
      <c r="G827" s="21">
        <f>IF(OR(C827="",N(D827)=0),"",C827/D827)</f>
        <v/>
      </c>
      <c r="H827" s="21">
        <f>IF(A827="","",IFERROR(INDEX(Weight!$B$2:$B$1000,MATCH(IF(_xlfn.MAXIFS(Weight!$A$2:$A$1000,Weight!$A$2:$A$1000,"&lt;="&amp;A827)&gt;0,_xlfn.MAXIFS(Weight!$A$2:$A$1000,Weight!$A$2:$A$1000,"&lt;="&amp;A827),_xlfn.MINIFS(Weight!$A$2:$A$1000,Weight!$A$2:$A$1000,"&gt;0")),Weight!$A$2:$A$1000,0)),Settings!$B$6))</f>
        <v/>
      </c>
      <c r="I827" s="21">
        <f>IF(B827="","",IFERROR(INDEX(Settings!$B$10:$B$21,MATCH(B827,Settings!$A$10:$A$21,0)),4))</f>
        <v/>
      </c>
      <c r="J827" s="22">
        <f>IF(OR(A827="",C827="",I827=""),"",I827*H827*C827/60)</f>
        <v/>
      </c>
    </row>
    <row r="828">
      <c r="A828" s="35" t="n"/>
      <c r="B828" s="33" t="n"/>
      <c r="C828" s="31" t="n"/>
      <c r="D828" s="30" t="n"/>
      <c r="E828" s="33" t="n"/>
      <c r="F828" s="20">
        <f>IF(A828="","",WEEKNUM(A828,21))</f>
        <v/>
      </c>
      <c r="G828" s="21">
        <f>IF(OR(C828="",N(D828)=0),"",C828/D828)</f>
        <v/>
      </c>
      <c r="H828" s="21">
        <f>IF(A828="","",IFERROR(INDEX(Weight!$B$2:$B$1000,MATCH(IF(_xlfn.MAXIFS(Weight!$A$2:$A$1000,Weight!$A$2:$A$1000,"&lt;="&amp;A828)&gt;0,_xlfn.MAXIFS(Weight!$A$2:$A$1000,Weight!$A$2:$A$1000,"&lt;="&amp;A828),_xlfn.MINIFS(Weight!$A$2:$A$1000,Weight!$A$2:$A$1000,"&gt;0")),Weight!$A$2:$A$1000,0)),Settings!$B$6))</f>
        <v/>
      </c>
      <c r="I828" s="21">
        <f>IF(B828="","",IFERROR(INDEX(Settings!$B$10:$B$21,MATCH(B828,Settings!$A$10:$A$21,0)),4))</f>
        <v/>
      </c>
      <c r="J828" s="22">
        <f>IF(OR(A828="",C828="",I828=""),"",I828*H828*C828/60)</f>
        <v/>
      </c>
    </row>
    <row r="829">
      <c r="A829" s="35" t="n"/>
      <c r="B829" s="33" t="n"/>
      <c r="C829" s="31" t="n"/>
      <c r="D829" s="30" t="n"/>
      <c r="E829" s="33" t="n"/>
      <c r="F829" s="20">
        <f>IF(A829="","",WEEKNUM(A829,21))</f>
        <v/>
      </c>
      <c r="G829" s="21">
        <f>IF(OR(C829="",N(D829)=0),"",C829/D829)</f>
        <v/>
      </c>
      <c r="H829" s="21">
        <f>IF(A829="","",IFERROR(INDEX(Weight!$B$2:$B$1000,MATCH(IF(_xlfn.MAXIFS(Weight!$A$2:$A$1000,Weight!$A$2:$A$1000,"&lt;="&amp;A829)&gt;0,_xlfn.MAXIFS(Weight!$A$2:$A$1000,Weight!$A$2:$A$1000,"&lt;="&amp;A829),_xlfn.MINIFS(Weight!$A$2:$A$1000,Weight!$A$2:$A$1000,"&gt;0")),Weight!$A$2:$A$1000,0)),Settings!$B$6))</f>
        <v/>
      </c>
      <c r="I829" s="21">
        <f>IF(B829="","",IFERROR(INDEX(Settings!$B$10:$B$21,MATCH(B829,Settings!$A$10:$A$21,0)),4))</f>
        <v/>
      </c>
      <c r="J829" s="22">
        <f>IF(OR(A829="",C829="",I829=""),"",I829*H829*C829/60)</f>
        <v/>
      </c>
    </row>
    <row r="830">
      <c r="A830" s="35" t="n"/>
      <c r="B830" s="33" t="n"/>
      <c r="C830" s="31" t="n"/>
      <c r="D830" s="30" t="n"/>
      <c r="E830" s="33" t="n"/>
      <c r="F830" s="20">
        <f>IF(A830="","",WEEKNUM(A830,21))</f>
        <v/>
      </c>
      <c r="G830" s="21">
        <f>IF(OR(C830="",N(D830)=0),"",C830/D830)</f>
        <v/>
      </c>
      <c r="H830" s="21">
        <f>IF(A830="","",IFERROR(INDEX(Weight!$B$2:$B$1000,MATCH(IF(_xlfn.MAXIFS(Weight!$A$2:$A$1000,Weight!$A$2:$A$1000,"&lt;="&amp;A830)&gt;0,_xlfn.MAXIFS(Weight!$A$2:$A$1000,Weight!$A$2:$A$1000,"&lt;="&amp;A830),_xlfn.MINIFS(Weight!$A$2:$A$1000,Weight!$A$2:$A$1000,"&gt;0")),Weight!$A$2:$A$1000,0)),Settings!$B$6))</f>
        <v/>
      </c>
      <c r="I830" s="21">
        <f>IF(B830="","",IFERROR(INDEX(Settings!$B$10:$B$21,MATCH(B830,Settings!$A$10:$A$21,0)),4))</f>
        <v/>
      </c>
      <c r="J830" s="22">
        <f>IF(OR(A830="",C830="",I830=""),"",I830*H830*C830/60)</f>
        <v/>
      </c>
    </row>
    <row r="831">
      <c r="A831" s="35" t="n"/>
      <c r="B831" s="33" t="n"/>
      <c r="C831" s="31" t="n"/>
      <c r="D831" s="30" t="n"/>
      <c r="E831" s="33" t="n"/>
      <c r="F831" s="20">
        <f>IF(A831="","",WEEKNUM(A831,21))</f>
        <v/>
      </c>
      <c r="G831" s="21">
        <f>IF(OR(C831="",N(D831)=0),"",C831/D831)</f>
        <v/>
      </c>
      <c r="H831" s="21">
        <f>IF(A831="","",IFERROR(INDEX(Weight!$B$2:$B$1000,MATCH(IF(_xlfn.MAXIFS(Weight!$A$2:$A$1000,Weight!$A$2:$A$1000,"&lt;="&amp;A831)&gt;0,_xlfn.MAXIFS(Weight!$A$2:$A$1000,Weight!$A$2:$A$1000,"&lt;="&amp;A831),_xlfn.MINIFS(Weight!$A$2:$A$1000,Weight!$A$2:$A$1000,"&gt;0")),Weight!$A$2:$A$1000,0)),Settings!$B$6))</f>
        <v/>
      </c>
      <c r="I831" s="21">
        <f>IF(B831="","",IFERROR(INDEX(Settings!$B$10:$B$21,MATCH(B831,Settings!$A$10:$A$21,0)),4))</f>
        <v/>
      </c>
      <c r="J831" s="22">
        <f>IF(OR(A831="",C831="",I831=""),"",I831*H831*C831/60)</f>
        <v/>
      </c>
    </row>
    <row r="832">
      <c r="A832" s="35" t="n"/>
      <c r="B832" s="33" t="n"/>
      <c r="C832" s="31" t="n"/>
      <c r="D832" s="30" t="n"/>
      <c r="E832" s="33" t="n"/>
      <c r="F832" s="20">
        <f>IF(A832="","",WEEKNUM(A832,21))</f>
        <v/>
      </c>
      <c r="G832" s="21">
        <f>IF(OR(C832="",N(D832)=0),"",C832/D832)</f>
        <v/>
      </c>
      <c r="H832" s="21">
        <f>IF(A832="","",IFERROR(INDEX(Weight!$B$2:$B$1000,MATCH(IF(_xlfn.MAXIFS(Weight!$A$2:$A$1000,Weight!$A$2:$A$1000,"&lt;="&amp;A832)&gt;0,_xlfn.MAXIFS(Weight!$A$2:$A$1000,Weight!$A$2:$A$1000,"&lt;="&amp;A832),_xlfn.MINIFS(Weight!$A$2:$A$1000,Weight!$A$2:$A$1000,"&gt;0")),Weight!$A$2:$A$1000,0)),Settings!$B$6))</f>
        <v/>
      </c>
      <c r="I832" s="21">
        <f>IF(B832="","",IFERROR(INDEX(Settings!$B$10:$B$21,MATCH(B832,Settings!$A$10:$A$21,0)),4))</f>
        <v/>
      </c>
      <c r="J832" s="22">
        <f>IF(OR(A832="",C832="",I832=""),"",I832*H832*C832/60)</f>
        <v/>
      </c>
    </row>
    <row r="833">
      <c r="A833" s="35" t="n"/>
      <c r="B833" s="33" t="n"/>
      <c r="C833" s="31" t="n"/>
      <c r="D833" s="30" t="n"/>
      <c r="E833" s="33" t="n"/>
      <c r="F833" s="20">
        <f>IF(A833="","",WEEKNUM(A833,21))</f>
        <v/>
      </c>
      <c r="G833" s="21">
        <f>IF(OR(C833="",N(D833)=0),"",C833/D833)</f>
        <v/>
      </c>
      <c r="H833" s="21">
        <f>IF(A833="","",IFERROR(INDEX(Weight!$B$2:$B$1000,MATCH(IF(_xlfn.MAXIFS(Weight!$A$2:$A$1000,Weight!$A$2:$A$1000,"&lt;="&amp;A833)&gt;0,_xlfn.MAXIFS(Weight!$A$2:$A$1000,Weight!$A$2:$A$1000,"&lt;="&amp;A833),_xlfn.MINIFS(Weight!$A$2:$A$1000,Weight!$A$2:$A$1000,"&gt;0")),Weight!$A$2:$A$1000,0)),Settings!$B$6))</f>
        <v/>
      </c>
      <c r="I833" s="21">
        <f>IF(B833="","",IFERROR(INDEX(Settings!$B$10:$B$21,MATCH(B833,Settings!$A$10:$A$21,0)),4))</f>
        <v/>
      </c>
      <c r="J833" s="22">
        <f>IF(OR(A833="",C833="",I833=""),"",I833*H833*C833/60)</f>
        <v/>
      </c>
    </row>
    <row r="834">
      <c r="A834" s="35" t="n"/>
      <c r="B834" s="33" t="n"/>
      <c r="C834" s="31" t="n"/>
      <c r="D834" s="30" t="n"/>
      <c r="E834" s="33" t="n"/>
      <c r="F834" s="20">
        <f>IF(A834="","",WEEKNUM(A834,21))</f>
        <v/>
      </c>
      <c r="G834" s="21">
        <f>IF(OR(C834="",N(D834)=0),"",C834/D834)</f>
        <v/>
      </c>
      <c r="H834" s="21">
        <f>IF(A834="","",IFERROR(INDEX(Weight!$B$2:$B$1000,MATCH(IF(_xlfn.MAXIFS(Weight!$A$2:$A$1000,Weight!$A$2:$A$1000,"&lt;="&amp;A834)&gt;0,_xlfn.MAXIFS(Weight!$A$2:$A$1000,Weight!$A$2:$A$1000,"&lt;="&amp;A834),_xlfn.MINIFS(Weight!$A$2:$A$1000,Weight!$A$2:$A$1000,"&gt;0")),Weight!$A$2:$A$1000,0)),Settings!$B$6))</f>
        <v/>
      </c>
      <c r="I834" s="21">
        <f>IF(B834="","",IFERROR(INDEX(Settings!$B$10:$B$21,MATCH(B834,Settings!$A$10:$A$21,0)),4))</f>
        <v/>
      </c>
      <c r="J834" s="22">
        <f>IF(OR(A834="",C834="",I834=""),"",I834*H834*C834/60)</f>
        <v/>
      </c>
    </row>
    <row r="835">
      <c r="A835" s="35" t="n"/>
      <c r="B835" s="33" t="n"/>
      <c r="C835" s="31" t="n"/>
      <c r="D835" s="30" t="n"/>
      <c r="E835" s="33" t="n"/>
      <c r="F835" s="20">
        <f>IF(A835="","",WEEKNUM(A835,21))</f>
        <v/>
      </c>
      <c r="G835" s="21">
        <f>IF(OR(C835="",N(D835)=0),"",C835/D835)</f>
        <v/>
      </c>
      <c r="H835" s="21">
        <f>IF(A835="","",IFERROR(INDEX(Weight!$B$2:$B$1000,MATCH(IF(_xlfn.MAXIFS(Weight!$A$2:$A$1000,Weight!$A$2:$A$1000,"&lt;="&amp;A835)&gt;0,_xlfn.MAXIFS(Weight!$A$2:$A$1000,Weight!$A$2:$A$1000,"&lt;="&amp;A835),_xlfn.MINIFS(Weight!$A$2:$A$1000,Weight!$A$2:$A$1000,"&gt;0")),Weight!$A$2:$A$1000,0)),Settings!$B$6))</f>
        <v/>
      </c>
      <c r="I835" s="21">
        <f>IF(B835="","",IFERROR(INDEX(Settings!$B$10:$B$21,MATCH(B835,Settings!$A$10:$A$21,0)),4))</f>
        <v/>
      </c>
      <c r="J835" s="22">
        <f>IF(OR(A835="",C835="",I835=""),"",I835*H835*C835/60)</f>
        <v/>
      </c>
    </row>
    <row r="836">
      <c r="A836" s="35" t="n"/>
      <c r="B836" s="33" t="n"/>
      <c r="C836" s="31" t="n"/>
      <c r="D836" s="30" t="n"/>
      <c r="E836" s="33" t="n"/>
      <c r="F836" s="20">
        <f>IF(A836="","",WEEKNUM(A836,21))</f>
        <v/>
      </c>
      <c r="G836" s="21">
        <f>IF(OR(C836="",N(D836)=0),"",C836/D836)</f>
        <v/>
      </c>
      <c r="H836" s="21">
        <f>IF(A836="","",IFERROR(INDEX(Weight!$B$2:$B$1000,MATCH(IF(_xlfn.MAXIFS(Weight!$A$2:$A$1000,Weight!$A$2:$A$1000,"&lt;="&amp;A836)&gt;0,_xlfn.MAXIFS(Weight!$A$2:$A$1000,Weight!$A$2:$A$1000,"&lt;="&amp;A836),_xlfn.MINIFS(Weight!$A$2:$A$1000,Weight!$A$2:$A$1000,"&gt;0")),Weight!$A$2:$A$1000,0)),Settings!$B$6))</f>
        <v/>
      </c>
      <c r="I836" s="21">
        <f>IF(B836="","",IFERROR(INDEX(Settings!$B$10:$B$21,MATCH(B836,Settings!$A$10:$A$21,0)),4))</f>
        <v/>
      </c>
      <c r="J836" s="22">
        <f>IF(OR(A836="",C836="",I836=""),"",I836*H836*C836/60)</f>
        <v/>
      </c>
    </row>
    <row r="837">
      <c r="A837" s="35" t="n"/>
      <c r="B837" s="33" t="n"/>
      <c r="C837" s="31" t="n"/>
      <c r="D837" s="30" t="n"/>
      <c r="E837" s="33" t="n"/>
      <c r="F837" s="20">
        <f>IF(A837="","",WEEKNUM(A837,21))</f>
        <v/>
      </c>
      <c r="G837" s="21">
        <f>IF(OR(C837="",N(D837)=0),"",C837/D837)</f>
        <v/>
      </c>
      <c r="H837" s="21">
        <f>IF(A837="","",IFERROR(INDEX(Weight!$B$2:$B$1000,MATCH(IF(_xlfn.MAXIFS(Weight!$A$2:$A$1000,Weight!$A$2:$A$1000,"&lt;="&amp;A837)&gt;0,_xlfn.MAXIFS(Weight!$A$2:$A$1000,Weight!$A$2:$A$1000,"&lt;="&amp;A837),_xlfn.MINIFS(Weight!$A$2:$A$1000,Weight!$A$2:$A$1000,"&gt;0")),Weight!$A$2:$A$1000,0)),Settings!$B$6))</f>
        <v/>
      </c>
      <c r="I837" s="21">
        <f>IF(B837="","",IFERROR(INDEX(Settings!$B$10:$B$21,MATCH(B837,Settings!$A$10:$A$21,0)),4))</f>
        <v/>
      </c>
      <c r="J837" s="22">
        <f>IF(OR(A837="",C837="",I837=""),"",I837*H837*C837/60)</f>
        <v/>
      </c>
    </row>
    <row r="838">
      <c r="A838" s="35" t="n"/>
      <c r="B838" s="33" t="n"/>
      <c r="C838" s="31" t="n"/>
      <c r="D838" s="30" t="n"/>
      <c r="E838" s="33" t="n"/>
      <c r="F838" s="20">
        <f>IF(A838="","",WEEKNUM(A838,21))</f>
        <v/>
      </c>
      <c r="G838" s="21">
        <f>IF(OR(C838="",N(D838)=0),"",C838/D838)</f>
        <v/>
      </c>
      <c r="H838" s="21">
        <f>IF(A838="","",IFERROR(INDEX(Weight!$B$2:$B$1000,MATCH(IF(_xlfn.MAXIFS(Weight!$A$2:$A$1000,Weight!$A$2:$A$1000,"&lt;="&amp;A838)&gt;0,_xlfn.MAXIFS(Weight!$A$2:$A$1000,Weight!$A$2:$A$1000,"&lt;="&amp;A838),_xlfn.MINIFS(Weight!$A$2:$A$1000,Weight!$A$2:$A$1000,"&gt;0")),Weight!$A$2:$A$1000,0)),Settings!$B$6))</f>
        <v/>
      </c>
      <c r="I838" s="21">
        <f>IF(B838="","",IFERROR(INDEX(Settings!$B$10:$B$21,MATCH(B838,Settings!$A$10:$A$21,0)),4))</f>
        <v/>
      </c>
      <c r="J838" s="22">
        <f>IF(OR(A838="",C838="",I838=""),"",I838*H838*C838/60)</f>
        <v/>
      </c>
    </row>
    <row r="839">
      <c r="A839" s="35" t="n"/>
      <c r="B839" s="33" t="n"/>
      <c r="C839" s="31" t="n"/>
      <c r="D839" s="30" t="n"/>
      <c r="E839" s="33" t="n"/>
      <c r="F839" s="20">
        <f>IF(A839="","",WEEKNUM(A839,21))</f>
        <v/>
      </c>
      <c r="G839" s="21">
        <f>IF(OR(C839="",N(D839)=0),"",C839/D839)</f>
        <v/>
      </c>
      <c r="H839" s="21">
        <f>IF(A839="","",IFERROR(INDEX(Weight!$B$2:$B$1000,MATCH(IF(_xlfn.MAXIFS(Weight!$A$2:$A$1000,Weight!$A$2:$A$1000,"&lt;="&amp;A839)&gt;0,_xlfn.MAXIFS(Weight!$A$2:$A$1000,Weight!$A$2:$A$1000,"&lt;="&amp;A839),_xlfn.MINIFS(Weight!$A$2:$A$1000,Weight!$A$2:$A$1000,"&gt;0")),Weight!$A$2:$A$1000,0)),Settings!$B$6))</f>
        <v/>
      </c>
      <c r="I839" s="21">
        <f>IF(B839="","",IFERROR(INDEX(Settings!$B$10:$B$21,MATCH(B839,Settings!$A$10:$A$21,0)),4))</f>
        <v/>
      </c>
      <c r="J839" s="22">
        <f>IF(OR(A839="",C839="",I839=""),"",I839*H839*C839/60)</f>
        <v/>
      </c>
    </row>
    <row r="840">
      <c r="A840" s="35" t="n"/>
      <c r="B840" s="33" t="n"/>
      <c r="C840" s="31" t="n"/>
      <c r="D840" s="30" t="n"/>
      <c r="E840" s="33" t="n"/>
      <c r="F840" s="20">
        <f>IF(A840="","",WEEKNUM(A840,21))</f>
        <v/>
      </c>
      <c r="G840" s="21">
        <f>IF(OR(C840="",N(D840)=0),"",C840/D840)</f>
        <v/>
      </c>
      <c r="H840" s="21">
        <f>IF(A840="","",IFERROR(INDEX(Weight!$B$2:$B$1000,MATCH(IF(_xlfn.MAXIFS(Weight!$A$2:$A$1000,Weight!$A$2:$A$1000,"&lt;="&amp;A840)&gt;0,_xlfn.MAXIFS(Weight!$A$2:$A$1000,Weight!$A$2:$A$1000,"&lt;="&amp;A840),_xlfn.MINIFS(Weight!$A$2:$A$1000,Weight!$A$2:$A$1000,"&gt;0")),Weight!$A$2:$A$1000,0)),Settings!$B$6))</f>
        <v/>
      </c>
      <c r="I840" s="21">
        <f>IF(B840="","",IFERROR(INDEX(Settings!$B$10:$B$21,MATCH(B840,Settings!$A$10:$A$21,0)),4))</f>
        <v/>
      </c>
      <c r="J840" s="22">
        <f>IF(OR(A840="",C840="",I840=""),"",I840*H840*C840/60)</f>
        <v/>
      </c>
    </row>
    <row r="841">
      <c r="A841" s="35" t="n"/>
      <c r="B841" s="33" t="n"/>
      <c r="C841" s="31" t="n"/>
      <c r="D841" s="30" t="n"/>
      <c r="E841" s="33" t="n"/>
      <c r="F841" s="20">
        <f>IF(A841="","",WEEKNUM(A841,21))</f>
        <v/>
      </c>
      <c r="G841" s="21">
        <f>IF(OR(C841="",N(D841)=0),"",C841/D841)</f>
        <v/>
      </c>
      <c r="H841" s="21">
        <f>IF(A841="","",IFERROR(INDEX(Weight!$B$2:$B$1000,MATCH(IF(_xlfn.MAXIFS(Weight!$A$2:$A$1000,Weight!$A$2:$A$1000,"&lt;="&amp;A841)&gt;0,_xlfn.MAXIFS(Weight!$A$2:$A$1000,Weight!$A$2:$A$1000,"&lt;="&amp;A841),_xlfn.MINIFS(Weight!$A$2:$A$1000,Weight!$A$2:$A$1000,"&gt;0")),Weight!$A$2:$A$1000,0)),Settings!$B$6))</f>
        <v/>
      </c>
      <c r="I841" s="21">
        <f>IF(B841="","",IFERROR(INDEX(Settings!$B$10:$B$21,MATCH(B841,Settings!$A$10:$A$21,0)),4))</f>
        <v/>
      </c>
      <c r="J841" s="22">
        <f>IF(OR(A841="",C841="",I841=""),"",I841*H841*C841/60)</f>
        <v/>
      </c>
    </row>
    <row r="842">
      <c r="A842" s="35" t="n"/>
      <c r="B842" s="33" t="n"/>
      <c r="C842" s="31" t="n"/>
      <c r="D842" s="30" t="n"/>
      <c r="E842" s="33" t="n"/>
      <c r="F842" s="20">
        <f>IF(A842="","",WEEKNUM(A842,21))</f>
        <v/>
      </c>
      <c r="G842" s="21">
        <f>IF(OR(C842="",N(D842)=0),"",C842/D842)</f>
        <v/>
      </c>
      <c r="H842" s="21">
        <f>IF(A842="","",IFERROR(INDEX(Weight!$B$2:$B$1000,MATCH(IF(_xlfn.MAXIFS(Weight!$A$2:$A$1000,Weight!$A$2:$A$1000,"&lt;="&amp;A842)&gt;0,_xlfn.MAXIFS(Weight!$A$2:$A$1000,Weight!$A$2:$A$1000,"&lt;="&amp;A842),_xlfn.MINIFS(Weight!$A$2:$A$1000,Weight!$A$2:$A$1000,"&gt;0")),Weight!$A$2:$A$1000,0)),Settings!$B$6))</f>
        <v/>
      </c>
      <c r="I842" s="21">
        <f>IF(B842="","",IFERROR(INDEX(Settings!$B$10:$B$21,MATCH(B842,Settings!$A$10:$A$21,0)),4))</f>
        <v/>
      </c>
      <c r="J842" s="22">
        <f>IF(OR(A842="",C842="",I842=""),"",I842*H842*C842/60)</f>
        <v/>
      </c>
    </row>
    <row r="843">
      <c r="A843" s="35" t="n"/>
      <c r="B843" s="33" t="n"/>
      <c r="C843" s="31" t="n"/>
      <c r="D843" s="30" t="n"/>
      <c r="E843" s="33" t="n"/>
      <c r="F843" s="20">
        <f>IF(A843="","",WEEKNUM(A843,21))</f>
        <v/>
      </c>
      <c r="G843" s="21">
        <f>IF(OR(C843="",N(D843)=0),"",C843/D843)</f>
        <v/>
      </c>
      <c r="H843" s="21">
        <f>IF(A843="","",IFERROR(INDEX(Weight!$B$2:$B$1000,MATCH(IF(_xlfn.MAXIFS(Weight!$A$2:$A$1000,Weight!$A$2:$A$1000,"&lt;="&amp;A843)&gt;0,_xlfn.MAXIFS(Weight!$A$2:$A$1000,Weight!$A$2:$A$1000,"&lt;="&amp;A843),_xlfn.MINIFS(Weight!$A$2:$A$1000,Weight!$A$2:$A$1000,"&gt;0")),Weight!$A$2:$A$1000,0)),Settings!$B$6))</f>
        <v/>
      </c>
      <c r="I843" s="21">
        <f>IF(B843="","",IFERROR(INDEX(Settings!$B$10:$B$21,MATCH(B843,Settings!$A$10:$A$21,0)),4))</f>
        <v/>
      </c>
      <c r="J843" s="22">
        <f>IF(OR(A843="",C843="",I843=""),"",I843*H843*C843/60)</f>
        <v/>
      </c>
    </row>
    <row r="844">
      <c r="A844" s="35" t="n"/>
      <c r="B844" s="33" t="n"/>
      <c r="C844" s="31" t="n"/>
      <c r="D844" s="30" t="n"/>
      <c r="E844" s="33" t="n"/>
      <c r="F844" s="20">
        <f>IF(A844="","",WEEKNUM(A844,21))</f>
        <v/>
      </c>
      <c r="G844" s="21">
        <f>IF(OR(C844="",N(D844)=0),"",C844/D844)</f>
        <v/>
      </c>
      <c r="H844" s="21">
        <f>IF(A844="","",IFERROR(INDEX(Weight!$B$2:$B$1000,MATCH(IF(_xlfn.MAXIFS(Weight!$A$2:$A$1000,Weight!$A$2:$A$1000,"&lt;="&amp;A844)&gt;0,_xlfn.MAXIFS(Weight!$A$2:$A$1000,Weight!$A$2:$A$1000,"&lt;="&amp;A844),_xlfn.MINIFS(Weight!$A$2:$A$1000,Weight!$A$2:$A$1000,"&gt;0")),Weight!$A$2:$A$1000,0)),Settings!$B$6))</f>
        <v/>
      </c>
      <c r="I844" s="21">
        <f>IF(B844="","",IFERROR(INDEX(Settings!$B$10:$B$21,MATCH(B844,Settings!$A$10:$A$21,0)),4))</f>
        <v/>
      </c>
      <c r="J844" s="22">
        <f>IF(OR(A844="",C844="",I844=""),"",I844*H844*C844/60)</f>
        <v/>
      </c>
    </row>
    <row r="845">
      <c r="A845" s="35" t="n"/>
      <c r="B845" s="33" t="n"/>
      <c r="C845" s="31" t="n"/>
      <c r="D845" s="30" t="n"/>
      <c r="E845" s="33" t="n"/>
      <c r="F845" s="20">
        <f>IF(A845="","",WEEKNUM(A845,21))</f>
        <v/>
      </c>
      <c r="G845" s="21">
        <f>IF(OR(C845="",N(D845)=0),"",C845/D845)</f>
        <v/>
      </c>
      <c r="H845" s="21">
        <f>IF(A845="","",IFERROR(INDEX(Weight!$B$2:$B$1000,MATCH(IF(_xlfn.MAXIFS(Weight!$A$2:$A$1000,Weight!$A$2:$A$1000,"&lt;="&amp;A845)&gt;0,_xlfn.MAXIFS(Weight!$A$2:$A$1000,Weight!$A$2:$A$1000,"&lt;="&amp;A845),_xlfn.MINIFS(Weight!$A$2:$A$1000,Weight!$A$2:$A$1000,"&gt;0")),Weight!$A$2:$A$1000,0)),Settings!$B$6))</f>
        <v/>
      </c>
      <c r="I845" s="21">
        <f>IF(B845="","",IFERROR(INDEX(Settings!$B$10:$B$21,MATCH(B845,Settings!$A$10:$A$21,0)),4))</f>
        <v/>
      </c>
      <c r="J845" s="22">
        <f>IF(OR(A845="",C845="",I845=""),"",I845*H845*C845/60)</f>
        <v/>
      </c>
    </row>
    <row r="846">
      <c r="A846" s="35" t="n"/>
      <c r="B846" s="33" t="n"/>
      <c r="C846" s="31" t="n"/>
      <c r="D846" s="30" t="n"/>
      <c r="E846" s="33" t="n"/>
      <c r="F846" s="20">
        <f>IF(A846="","",WEEKNUM(A846,21))</f>
        <v/>
      </c>
      <c r="G846" s="21">
        <f>IF(OR(C846="",N(D846)=0),"",C846/D846)</f>
        <v/>
      </c>
      <c r="H846" s="21">
        <f>IF(A846="","",IFERROR(INDEX(Weight!$B$2:$B$1000,MATCH(IF(_xlfn.MAXIFS(Weight!$A$2:$A$1000,Weight!$A$2:$A$1000,"&lt;="&amp;A846)&gt;0,_xlfn.MAXIFS(Weight!$A$2:$A$1000,Weight!$A$2:$A$1000,"&lt;="&amp;A846),_xlfn.MINIFS(Weight!$A$2:$A$1000,Weight!$A$2:$A$1000,"&gt;0")),Weight!$A$2:$A$1000,0)),Settings!$B$6))</f>
        <v/>
      </c>
      <c r="I846" s="21">
        <f>IF(B846="","",IFERROR(INDEX(Settings!$B$10:$B$21,MATCH(B846,Settings!$A$10:$A$21,0)),4))</f>
        <v/>
      </c>
      <c r="J846" s="22">
        <f>IF(OR(A846="",C846="",I846=""),"",I846*H846*C846/60)</f>
        <v/>
      </c>
    </row>
    <row r="847">
      <c r="A847" s="35" t="n"/>
      <c r="B847" s="33" t="n"/>
      <c r="C847" s="31" t="n"/>
      <c r="D847" s="30" t="n"/>
      <c r="E847" s="33" t="n"/>
      <c r="F847" s="20">
        <f>IF(A847="","",WEEKNUM(A847,21))</f>
        <v/>
      </c>
      <c r="G847" s="21">
        <f>IF(OR(C847="",N(D847)=0),"",C847/D847)</f>
        <v/>
      </c>
      <c r="H847" s="21">
        <f>IF(A847="","",IFERROR(INDEX(Weight!$B$2:$B$1000,MATCH(IF(_xlfn.MAXIFS(Weight!$A$2:$A$1000,Weight!$A$2:$A$1000,"&lt;="&amp;A847)&gt;0,_xlfn.MAXIFS(Weight!$A$2:$A$1000,Weight!$A$2:$A$1000,"&lt;="&amp;A847),_xlfn.MINIFS(Weight!$A$2:$A$1000,Weight!$A$2:$A$1000,"&gt;0")),Weight!$A$2:$A$1000,0)),Settings!$B$6))</f>
        <v/>
      </c>
      <c r="I847" s="21">
        <f>IF(B847="","",IFERROR(INDEX(Settings!$B$10:$B$21,MATCH(B847,Settings!$A$10:$A$21,0)),4))</f>
        <v/>
      </c>
      <c r="J847" s="22">
        <f>IF(OR(A847="",C847="",I847=""),"",I847*H847*C847/60)</f>
        <v/>
      </c>
    </row>
    <row r="848">
      <c r="A848" s="35" t="n"/>
      <c r="B848" s="33" t="n"/>
      <c r="C848" s="31" t="n"/>
      <c r="D848" s="30" t="n"/>
      <c r="E848" s="33" t="n"/>
      <c r="F848" s="20">
        <f>IF(A848="","",WEEKNUM(A848,21))</f>
        <v/>
      </c>
      <c r="G848" s="21">
        <f>IF(OR(C848="",N(D848)=0),"",C848/D848)</f>
        <v/>
      </c>
      <c r="H848" s="21">
        <f>IF(A848="","",IFERROR(INDEX(Weight!$B$2:$B$1000,MATCH(IF(_xlfn.MAXIFS(Weight!$A$2:$A$1000,Weight!$A$2:$A$1000,"&lt;="&amp;A848)&gt;0,_xlfn.MAXIFS(Weight!$A$2:$A$1000,Weight!$A$2:$A$1000,"&lt;="&amp;A848),_xlfn.MINIFS(Weight!$A$2:$A$1000,Weight!$A$2:$A$1000,"&gt;0")),Weight!$A$2:$A$1000,0)),Settings!$B$6))</f>
        <v/>
      </c>
      <c r="I848" s="21">
        <f>IF(B848="","",IFERROR(INDEX(Settings!$B$10:$B$21,MATCH(B848,Settings!$A$10:$A$21,0)),4))</f>
        <v/>
      </c>
      <c r="J848" s="22">
        <f>IF(OR(A848="",C848="",I848=""),"",I848*H848*C848/60)</f>
        <v/>
      </c>
    </row>
    <row r="849">
      <c r="A849" s="35" t="n"/>
      <c r="B849" s="33" t="n"/>
      <c r="C849" s="31" t="n"/>
      <c r="D849" s="30" t="n"/>
      <c r="E849" s="33" t="n"/>
      <c r="F849" s="20">
        <f>IF(A849="","",WEEKNUM(A849,21))</f>
        <v/>
      </c>
      <c r="G849" s="21">
        <f>IF(OR(C849="",N(D849)=0),"",C849/D849)</f>
        <v/>
      </c>
      <c r="H849" s="21">
        <f>IF(A849="","",IFERROR(INDEX(Weight!$B$2:$B$1000,MATCH(IF(_xlfn.MAXIFS(Weight!$A$2:$A$1000,Weight!$A$2:$A$1000,"&lt;="&amp;A849)&gt;0,_xlfn.MAXIFS(Weight!$A$2:$A$1000,Weight!$A$2:$A$1000,"&lt;="&amp;A849),_xlfn.MINIFS(Weight!$A$2:$A$1000,Weight!$A$2:$A$1000,"&gt;0")),Weight!$A$2:$A$1000,0)),Settings!$B$6))</f>
        <v/>
      </c>
      <c r="I849" s="21">
        <f>IF(B849="","",IFERROR(INDEX(Settings!$B$10:$B$21,MATCH(B849,Settings!$A$10:$A$21,0)),4))</f>
        <v/>
      </c>
      <c r="J849" s="22">
        <f>IF(OR(A849="",C849="",I849=""),"",I849*H849*C849/60)</f>
        <v/>
      </c>
    </row>
    <row r="850">
      <c r="A850" s="35" t="n"/>
      <c r="B850" s="33" t="n"/>
      <c r="C850" s="31" t="n"/>
      <c r="D850" s="30" t="n"/>
      <c r="E850" s="33" t="n"/>
      <c r="F850" s="20">
        <f>IF(A850="","",WEEKNUM(A850,21))</f>
        <v/>
      </c>
      <c r="G850" s="21">
        <f>IF(OR(C850="",N(D850)=0),"",C850/D850)</f>
        <v/>
      </c>
      <c r="H850" s="21">
        <f>IF(A850="","",IFERROR(INDEX(Weight!$B$2:$B$1000,MATCH(IF(_xlfn.MAXIFS(Weight!$A$2:$A$1000,Weight!$A$2:$A$1000,"&lt;="&amp;A850)&gt;0,_xlfn.MAXIFS(Weight!$A$2:$A$1000,Weight!$A$2:$A$1000,"&lt;="&amp;A850),_xlfn.MINIFS(Weight!$A$2:$A$1000,Weight!$A$2:$A$1000,"&gt;0")),Weight!$A$2:$A$1000,0)),Settings!$B$6))</f>
        <v/>
      </c>
      <c r="I850" s="21">
        <f>IF(B850="","",IFERROR(INDEX(Settings!$B$10:$B$21,MATCH(B850,Settings!$A$10:$A$21,0)),4))</f>
        <v/>
      </c>
      <c r="J850" s="22">
        <f>IF(OR(A850="",C850="",I850=""),"",I850*H850*C850/60)</f>
        <v/>
      </c>
    </row>
    <row r="851">
      <c r="A851" s="35" t="n"/>
      <c r="B851" s="33" t="n"/>
      <c r="C851" s="31" t="n"/>
      <c r="D851" s="30" t="n"/>
      <c r="E851" s="33" t="n"/>
      <c r="F851" s="20">
        <f>IF(A851="","",WEEKNUM(A851,21))</f>
        <v/>
      </c>
      <c r="G851" s="21">
        <f>IF(OR(C851="",N(D851)=0),"",C851/D851)</f>
        <v/>
      </c>
      <c r="H851" s="21">
        <f>IF(A851="","",IFERROR(INDEX(Weight!$B$2:$B$1000,MATCH(IF(_xlfn.MAXIFS(Weight!$A$2:$A$1000,Weight!$A$2:$A$1000,"&lt;="&amp;A851)&gt;0,_xlfn.MAXIFS(Weight!$A$2:$A$1000,Weight!$A$2:$A$1000,"&lt;="&amp;A851),_xlfn.MINIFS(Weight!$A$2:$A$1000,Weight!$A$2:$A$1000,"&gt;0")),Weight!$A$2:$A$1000,0)),Settings!$B$6))</f>
        <v/>
      </c>
      <c r="I851" s="21">
        <f>IF(B851="","",IFERROR(INDEX(Settings!$B$10:$B$21,MATCH(B851,Settings!$A$10:$A$21,0)),4))</f>
        <v/>
      </c>
      <c r="J851" s="22">
        <f>IF(OR(A851="",C851="",I851=""),"",I851*H851*C851/60)</f>
        <v/>
      </c>
    </row>
    <row r="852">
      <c r="A852" s="35" t="n"/>
      <c r="B852" s="33" t="n"/>
      <c r="C852" s="31" t="n"/>
      <c r="D852" s="30" t="n"/>
      <c r="E852" s="33" t="n"/>
      <c r="F852" s="20">
        <f>IF(A852="","",WEEKNUM(A852,21))</f>
        <v/>
      </c>
      <c r="G852" s="21">
        <f>IF(OR(C852="",N(D852)=0),"",C852/D852)</f>
        <v/>
      </c>
      <c r="H852" s="21">
        <f>IF(A852="","",IFERROR(INDEX(Weight!$B$2:$B$1000,MATCH(IF(_xlfn.MAXIFS(Weight!$A$2:$A$1000,Weight!$A$2:$A$1000,"&lt;="&amp;A852)&gt;0,_xlfn.MAXIFS(Weight!$A$2:$A$1000,Weight!$A$2:$A$1000,"&lt;="&amp;A852),_xlfn.MINIFS(Weight!$A$2:$A$1000,Weight!$A$2:$A$1000,"&gt;0")),Weight!$A$2:$A$1000,0)),Settings!$B$6))</f>
        <v/>
      </c>
      <c r="I852" s="21">
        <f>IF(B852="","",IFERROR(INDEX(Settings!$B$10:$B$21,MATCH(B852,Settings!$A$10:$A$21,0)),4))</f>
        <v/>
      </c>
      <c r="J852" s="22">
        <f>IF(OR(A852="",C852="",I852=""),"",I852*H852*C852/60)</f>
        <v/>
      </c>
    </row>
    <row r="853">
      <c r="A853" s="35" t="n"/>
      <c r="B853" s="33" t="n"/>
      <c r="C853" s="31" t="n"/>
      <c r="D853" s="30" t="n"/>
      <c r="E853" s="33" t="n"/>
      <c r="F853" s="20">
        <f>IF(A853="","",WEEKNUM(A853,21))</f>
        <v/>
      </c>
      <c r="G853" s="21">
        <f>IF(OR(C853="",N(D853)=0),"",C853/D853)</f>
        <v/>
      </c>
      <c r="H853" s="21">
        <f>IF(A853="","",IFERROR(INDEX(Weight!$B$2:$B$1000,MATCH(IF(_xlfn.MAXIFS(Weight!$A$2:$A$1000,Weight!$A$2:$A$1000,"&lt;="&amp;A853)&gt;0,_xlfn.MAXIFS(Weight!$A$2:$A$1000,Weight!$A$2:$A$1000,"&lt;="&amp;A853),_xlfn.MINIFS(Weight!$A$2:$A$1000,Weight!$A$2:$A$1000,"&gt;0")),Weight!$A$2:$A$1000,0)),Settings!$B$6))</f>
        <v/>
      </c>
      <c r="I853" s="21">
        <f>IF(B853="","",IFERROR(INDEX(Settings!$B$10:$B$21,MATCH(B853,Settings!$A$10:$A$21,0)),4))</f>
        <v/>
      </c>
      <c r="J853" s="22">
        <f>IF(OR(A853="",C853="",I853=""),"",I853*H853*C853/60)</f>
        <v/>
      </c>
    </row>
    <row r="854">
      <c r="A854" s="35" t="n"/>
      <c r="B854" s="33" t="n"/>
      <c r="C854" s="31" t="n"/>
      <c r="D854" s="30" t="n"/>
      <c r="E854" s="33" t="n"/>
      <c r="F854" s="20">
        <f>IF(A854="","",WEEKNUM(A854,21))</f>
        <v/>
      </c>
      <c r="G854" s="21">
        <f>IF(OR(C854="",N(D854)=0),"",C854/D854)</f>
        <v/>
      </c>
      <c r="H854" s="21">
        <f>IF(A854="","",IFERROR(INDEX(Weight!$B$2:$B$1000,MATCH(IF(_xlfn.MAXIFS(Weight!$A$2:$A$1000,Weight!$A$2:$A$1000,"&lt;="&amp;A854)&gt;0,_xlfn.MAXIFS(Weight!$A$2:$A$1000,Weight!$A$2:$A$1000,"&lt;="&amp;A854),_xlfn.MINIFS(Weight!$A$2:$A$1000,Weight!$A$2:$A$1000,"&gt;0")),Weight!$A$2:$A$1000,0)),Settings!$B$6))</f>
        <v/>
      </c>
      <c r="I854" s="21">
        <f>IF(B854="","",IFERROR(INDEX(Settings!$B$10:$B$21,MATCH(B854,Settings!$A$10:$A$21,0)),4))</f>
        <v/>
      </c>
      <c r="J854" s="22">
        <f>IF(OR(A854="",C854="",I854=""),"",I854*H854*C854/60)</f>
        <v/>
      </c>
    </row>
    <row r="855">
      <c r="A855" s="35" t="n"/>
      <c r="B855" s="33" t="n"/>
      <c r="C855" s="31" t="n"/>
      <c r="D855" s="30" t="n"/>
      <c r="E855" s="33" t="n"/>
      <c r="F855" s="20">
        <f>IF(A855="","",WEEKNUM(A855,21))</f>
        <v/>
      </c>
      <c r="G855" s="21">
        <f>IF(OR(C855="",N(D855)=0),"",C855/D855)</f>
        <v/>
      </c>
      <c r="H855" s="21">
        <f>IF(A855="","",IFERROR(INDEX(Weight!$B$2:$B$1000,MATCH(IF(_xlfn.MAXIFS(Weight!$A$2:$A$1000,Weight!$A$2:$A$1000,"&lt;="&amp;A855)&gt;0,_xlfn.MAXIFS(Weight!$A$2:$A$1000,Weight!$A$2:$A$1000,"&lt;="&amp;A855),_xlfn.MINIFS(Weight!$A$2:$A$1000,Weight!$A$2:$A$1000,"&gt;0")),Weight!$A$2:$A$1000,0)),Settings!$B$6))</f>
        <v/>
      </c>
      <c r="I855" s="21">
        <f>IF(B855="","",IFERROR(INDEX(Settings!$B$10:$B$21,MATCH(B855,Settings!$A$10:$A$21,0)),4))</f>
        <v/>
      </c>
      <c r="J855" s="22">
        <f>IF(OR(A855="",C855="",I855=""),"",I855*H855*C855/60)</f>
        <v/>
      </c>
    </row>
    <row r="856">
      <c r="A856" s="35" t="n"/>
      <c r="B856" s="33" t="n"/>
      <c r="C856" s="31" t="n"/>
      <c r="D856" s="30" t="n"/>
      <c r="E856" s="33" t="n"/>
      <c r="F856" s="20">
        <f>IF(A856="","",WEEKNUM(A856,21))</f>
        <v/>
      </c>
      <c r="G856" s="21">
        <f>IF(OR(C856="",N(D856)=0),"",C856/D856)</f>
        <v/>
      </c>
      <c r="H856" s="21">
        <f>IF(A856="","",IFERROR(INDEX(Weight!$B$2:$B$1000,MATCH(IF(_xlfn.MAXIFS(Weight!$A$2:$A$1000,Weight!$A$2:$A$1000,"&lt;="&amp;A856)&gt;0,_xlfn.MAXIFS(Weight!$A$2:$A$1000,Weight!$A$2:$A$1000,"&lt;="&amp;A856),_xlfn.MINIFS(Weight!$A$2:$A$1000,Weight!$A$2:$A$1000,"&gt;0")),Weight!$A$2:$A$1000,0)),Settings!$B$6))</f>
        <v/>
      </c>
      <c r="I856" s="21">
        <f>IF(B856="","",IFERROR(INDEX(Settings!$B$10:$B$21,MATCH(B856,Settings!$A$10:$A$21,0)),4))</f>
        <v/>
      </c>
      <c r="J856" s="22">
        <f>IF(OR(A856="",C856="",I856=""),"",I856*H856*C856/60)</f>
        <v/>
      </c>
    </row>
    <row r="857">
      <c r="A857" s="35" t="n"/>
      <c r="B857" s="33" t="n"/>
      <c r="C857" s="31" t="n"/>
      <c r="D857" s="30" t="n"/>
      <c r="E857" s="33" t="n"/>
      <c r="F857" s="20">
        <f>IF(A857="","",WEEKNUM(A857,21))</f>
        <v/>
      </c>
      <c r="G857" s="21">
        <f>IF(OR(C857="",N(D857)=0),"",C857/D857)</f>
        <v/>
      </c>
      <c r="H857" s="21">
        <f>IF(A857="","",IFERROR(INDEX(Weight!$B$2:$B$1000,MATCH(IF(_xlfn.MAXIFS(Weight!$A$2:$A$1000,Weight!$A$2:$A$1000,"&lt;="&amp;A857)&gt;0,_xlfn.MAXIFS(Weight!$A$2:$A$1000,Weight!$A$2:$A$1000,"&lt;="&amp;A857),_xlfn.MINIFS(Weight!$A$2:$A$1000,Weight!$A$2:$A$1000,"&gt;0")),Weight!$A$2:$A$1000,0)),Settings!$B$6))</f>
        <v/>
      </c>
      <c r="I857" s="21">
        <f>IF(B857="","",IFERROR(INDEX(Settings!$B$10:$B$21,MATCH(B857,Settings!$A$10:$A$21,0)),4))</f>
        <v/>
      </c>
      <c r="J857" s="22">
        <f>IF(OR(A857="",C857="",I857=""),"",I857*H857*C857/60)</f>
        <v/>
      </c>
    </row>
    <row r="858">
      <c r="A858" s="35" t="n"/>
      <c r="B858" s="33" t="n"/>
      <c r="C858" s="31" t="n"/>
      <c r="D858" s="30" t="n"/>
      <c r="E858" s="33" t="n"/>
      <c r="F858" s="20">
        <f>IF(A858="","",WEEKNUM(A858,21))</f>
        <v/>
      </c>
      <c r="G858" s="21">
        <f>IF(OR(C858="",N(D858)=0),"",C858/D858)</f>
        <v/>
      </c>
      <c r="H858" s="21">
        <f>IF(A858="","",IFERROR(INDEX(Weight!$B$2:$B$1000,MATCH(IF(_xlfn.MAXIFS(Weight!$A$2:$A$1000,Weight!$A$2:$A$1000,"&lt;="&amp;A858)&gt;0,_xlfn.MAXIFS(Weight!$A$2:$A$1000,Weight!$A$2:$A$1000,"&lt;="&amp;A858),_xlfn.MINIFS(Weight!$A$2:$A$1000,Weight!$A$2:$A$1000,"&gt;0")),Weight!$A$2:$A$1000,0)),Settings!$B$6))</f>
        <v/>
      </c>
      <c r="I858" s="21">
        <f>IF(B858="","",IFERROR(INDEX(Settings!$B$10:$B$21,MATCH(B858,Settings!$A$10:$A$21,0)),4))</f>
        <v/>
      </c>
      <c r="J858" s="22">
        <f>IF(OR(A858="",C858="",I858=""),"",I858*H858*C858/60)</f>
        <v/>
      </c>
    </row>
    <row r="859">
      <c r="A859" s="35" t="n"/>
      <c r="B859" s="33" t="n"/>
      <c r="C859" s="31" t="n"/>
      <c r="D859" s="30" t="n"/>
      <c r="E859" s="33" t="n"/>
      <c r="F859" s="20">
        <f>IF(A859="","",WEEKNUM(A859,21))</f>
        <v/>
      </c>
      <c r="G859" s="21">
        <f>IF(OR(C859="",N(D859)=0),"",C859/D859)</f>
        <v/>
      </c>
      <c r="H859" s="21">
        <f>IF(A859="","",IFERROR(INDEX(Weight!$B$2:$B$1000,MATCH(IF(_xlfn.MAXIFS(Weight!$A$2:$A$1000,Weight!$A$2:$A$1000,"&lt;="&amp;A859)&gt;0,_xlfn.MAXIFS(Weight!$A$2:$A$1000,Weight!$A$2:$A$1000,"&lt;="&amp;A859),_xlfn.MINIFS(Weight!$A$2:$A$1000,Weight!$A$2:$A$1000,"&gt;0")),Weight!$A$2:$A$1000,0)),Settings!$B$6))</f>
        <v/>
      </c>
      <c r="I859" s="21">
        <f>IF(B859="","",IFERROR(INDEX(Settings!$B$10:$B$21,MATCH(B859,Settings!$A$10:$A$21,0)),4))</f>
        <v/>
      </c>
      <c r="J859" s="22">
        <f>IF(OR(A859="",C859="",I859=""),"",I859*H859*C859/60)</f>
        <v/>
      </c>
    </row>
    <row r="860">
      <c r="A860" s="35" t="n"/>
      <c r="B860" s="33" t="n"/>
      <c r="C860" s="31" t="n"/>
      <c r="D860" s="30" t="n"/>
      <c r="E860" s="33" t="n"/>
      <c r="F860" s="20">
        <f>IF(A860="","",WEEKNUM(A860,21))</f>
        <v/>
      </c>
      <c r="G860" s="21">
        <f>IF(OR(C860="",N(D860)=0),"",C860/D860)</f>
        <v/>
      </c>
      <c r="H860" s="21">
        <f>IF(A860="","",IFERROR(INDEX(Weight!$B$2:$B$1000,MATCH(IF(_xlfn.MAXIFS(Weight!$A$2:$A$1000,Weight!$A$2:$A$1000,"&lt;="&amp;A860)&gt;0,_xlfn.MAXIFS(Weight!$A$2:$A$1000,Weight!$A$2:$A$1000,"&lt;="&amp;A860),_xlfn.MINIFS(Weight!$A$2:$A$1000,Weight!$A$2:$A$1000,"&gt;0")),Weight!$A$2:$A$1000,0)),Settings!$B$6))</f>
        <v/>
      </c>
      <c r="I860" s="21">
        <f>IF(B860="","",IFERROR(INDEX(Settings!$B$10:$B$21,MATCH(B860,Settings!$A$10:$A$21,0)),4))</f>
        <v/>
      </c>
      <c r="J860" s="22">
        <f>IF(OR(A860="",C860="",I860=""),"",I860*H860*C860/60)</f>
        <v/>
      </c>
    </row>
    <row r="861">
      <c r="A861" s="35" t="n"/>
      <c r="B861" s="33" t="n"/>
      <c r="C861" s="31" t="n"/>
      <c r="D861" s="30" t="n"/>
      <c r="E861" s="33" t="n"/>
      <c r="F861" s="20">
        <f>IF(A861="","",WEEKNUM(A861,21))</f>
        <v/>
      </c>
      <c r="G861" s="21">
        <f>IF(OR(C861="",N(D861)=0),"",C861/D861)</f>
        <v/>
      </c>
      <c r="H861" s="21">
        <f>IF(A861="","",IFERROR(INDEX(Weight!$B$2:$B$1000,MATCH(IF(_xlfn.MAXIFS(Weight!$A$2:$A$1000,Weight!$A$2:$A$1000,"&lt;="&amp;A861)&gt;0,_xlfn.MAXIFS(Weight!$A$2:$A$1000,Weight!$A$2:$A$1000,"&lt;="&amp;A861),_xlfn.MINIFS(Weight!$A$2:$A$1000,Weight!$A$2:$A$1000,"&gt;0")),Weight!$A$2:$A$1000,0)),Settings!$B$6))</f>
        <v/>
      </c>
      <c r="I861" s="21">
        <f>IF(B861="","",IFERROR(INDEX(Settings!$B$10:$B$21,MATCH(B861,Settings!$A$10:$A$21,0)),4))</f>
        <v/>
      </c>
      <c r="J861" s="22">
        <f>IF(OR(A861="",C861="",I861=""),"",I861*H861*C861/60)</f>
        <v/>
      </c>
    </row>
    <row r="862">
      <c r="A862" s="35" t="n"/>
      <c r="B862" s="33" t="n"/>
      <c r="C862" s="31" t="n"/>
      <c r="D862" s="30" t="n"/>
      <c r="E862" s="33" t="n"/>
      <c r="F862" s="20">
        <f>IF(A862="","",WEEKNUM(A862,21))</f>
        <v/>
      </c>
      <c r="G862" s="21">
        <f>IF(OR(C862="",N(D862)=0),"",C862/D862)</f>
        <v/>
      </c>
      <c r="H862" s="21">
        <f>IF(A862="","",IFERROR(INDEX(Weight!$B$2:$B$1000,MATCH(IF(_xlfn.MAXIFS(Weight!$A$2:$A$1000,Weight!$A$2:$A$1000,"&lt;="&amp;A862)&gt;0,_xlfn.MAXIFS(Weight!$A$2:$A$1000,Weight!$A$2:$A$1000,"&lt;="&amp;A862),_xlfn.MINIFS(Weight!$A$2:$A$1000,Weight!$A$2:$A$1000,"&gt;0")),Weight!$A$2:$A$1000,0)),Settings!$B$6))</f>
        <v/>
      </c>
      <c r="I862" s="21">
        <f>IF(B862="","",IFERROR(INDEX(Settings!$B$10:$B$21,MATCH(B862,Settings!$A$10:$A$21,0)),4))</f>
        <v/>
      </c>
      <c r="J862" s="22">
        <f>IF(OR(A862="",C862="",I862=""),"",I862*H862*C862/60)</f>
        <v/>
      </c>
    </row>
    <row r="863">
      <c r="A863" s="35" t="n"/>
      <c r="B863" s="33" t="n"/>
      <c r="C863" s="31" t="n"/>
      <c r="D863" s="30" t="n"/>
      <c r="E863" s="33" t="n"/>
      <c r="F863" s="20">
        <f>IF(A863="","",WEEKNUM(A863,21))</f>
        <v/>
      </c>
      <c r="G863" s="21">
        <f>IF(OR(C863="",N(D863)=0),"",C863/D863)</f>
        <v/>
      </c>
      <c r="H863" s="21">
        <f>IF(A863="","",IFERROR(INDEX(Weight!$B$2:$B$1000,MATCH(IF(_xlfn.MAXIFS(Weight!$A$2:$A$1000,Weight!$A$2:$A$1000,"&lt;="&amp;A863)&gt;0,_xlfn.MAXIFS(Weight!$A$2:$A$1000,Weight!$A$2:$A$1000,"&lt;="&amp;A863),_xlfn.MINIFS(Weight!$A$2:$A$1000,Weight!$A$2:$A$1000,"&gt;0")),Weight!$A$2:$A$1000,0)),Settings!$B$6))</f>
        <v/>
      </c>
      <c r="I863" s="21">
        <f>IF(B863="","",IFERROR(INDEX(Settings!$B$10:$B$21,MATCH(B863,Settings!$A$10:$A$21,0)),4))</f>
        <v/>
      </c>
      <c r="J863" s="22">
        <f>IF(OR(A863="",C863="",I863=""),"",I863*H863*C863/60)</f>
        <v/>
      </c>
    </row>
    <row r="864">
      <c r="A864" s="35" t="n"/>
      <c r="B864" s="33" t="n"/>
      <c r="C864" s="31" t="n"/>
      <c r="D864" s="30" t="n"/>
      <c r="E864" s="33" t="n"/>
      <c r="F864" s="20">
        <f>IF(A864="","",WEEKNUM(A864,21))</f>
        <v/>
      </c>
      <c r="G864" s="21">
        <f>IF(OR(C864="",N(D864)=0),"",C864/D864)</f>
        <v/>
      </c>
      <c r="H864" s="21">
        <f>IF(A864="","",IFERROR(INDEX(Weight!$B$2:$B$1000,MATCH(IF(_xlfn.MAXIFS(Weight!$A$2:$A$1000,Weight!$A$2:$A$1000,"&lt;="&amp;A864)&gt;0,_xlfn.MAXIFS(Weight!$A$2:$A$1000,Weight!$A$2:$A$1000,"&lt;="&amp;A864),_xlfn.MINIFS(Weight!$A$2:$A$1000,Weight!$A$2:$A$1000,"&gt;0")),Weight!$A$2:$A$1000,0)),Settings!$B$6))</f>
        <v/>
      </c>
      <c r="I864" s="21">
        <f>IF(B864="","",IFERROR(INDEX(Settings!$B$10:$B$21,MATCH(B864,Settings!$A$10:$A$21,0)),4))</f>
        <v/>
      </c>
      <c r="J864" s="22">
        <f>IF(OR(A864="",C864="",I864=""),"",I864*H864*C864/60)</f>
        <v/>
      </c>
    </row>
    <row r="865">
      <c r="A865" s="35" t="n"/>
      <c r="B865" s="33" t="n"/>
      <c r="C865" s="31" t="n"/>
      <c r="D865" s="30" t="n"/>
      <c r="E865" s="33" t="n"/>
      <c r="F865" s="20">
        <f>IF(A865="","",WEEKNUM(A865,21))</f>
        <v/>
      </c>
      <c r="G865" s="21">
        <f>IF(OR(C865="",N(D865)=0),"",C865/D865)</f>
        <v/>
      </c>
      <c r="H865" s="21">
        <f>IF(A865="","",IFERROR(INDEX(Weight!$B$2:$B$1000,MATCH(IF(_xlfn.MAXIFS(Weight!$A$2:$A$1000,Weight!$A$2:$A$1000,"&lt;="&amp;A865)&gt;0,_xlfn.MAXIFS(Weight!$A$2:$A$1000,Weight!$A$2:$A$1000,"&lt;="&amp;A865),_xlfn.MINIFS(Weight!$A$2:$A$1000,Weight!$A$2:$A$1000,"&gt;0")),Weight!$A$2:$A$1000,0)),Settings!$B$6))</f>
        <v/>
      </c>
      <c r="I865" s="21">
        <f>IF(B865="","",IFERROR(INDEX(Settings!$B$10:$B$21,MATCH(B865,Settings!$A$10:$A$21,0)),4))</f>
        <v/>
      </c>
      <c r="J865" s="22">
        <f>IF(OR(A865="",C865="",I865=""),"",I865*H865*C865/60)</f>
        <v/>
      </c>
    </row>
    <row r="866">
      <c r="A866" s="35" t="n"/>
      <c r="B866" s="33" t="n"/>
      <c r="C866" s="31" t="n"/>
      <c r="D866" s="30" t="n"/>
      <c r="E866" s="33" t="n"/>
      <c r="F866" s="20">
        <f>IF(A866="","",WEEKNUM(A866,21))</f>
        <v/>
      </c>
      <c r="G866" s="21">
        <f>IF(OR(C866="",N(D866)=0),"",C866/D866)</f>
        <v/>
      </c>
      <c r="H866" s="21">
        <f>IF(A866="","",IFERROR(INDEX(Weight!$B$2:$B$1000,MATCH(IF(_xlfn.MAXIFS(Weight!$A$2:$A$1000,Weight!$A$2:$A$1000,"&lt;="&amp;A866)&gt;0,_xlfn.MAXIFS(Weight!$A$2:$A$1000,Weight!$A$2:$A$1000,"&lt;="&amp;A866),_xlfn.MINIFS(Weight!$A$2:$A$1000,Weight!$A$2:$A$1000,"&gt;0")),Weight!$A$2:$A$1000,0)),Settings!$B$6))</f>
        <v/>
      </c>
      <c r="I866" s="21">
        <f>IF(B866="","",IFERROR(INDEX(Settings!$B$10:$B$21,MATCH(B866,Settings!$A$10:$A$21,0)),4))</f>
        <v/>
      </c>
      <c r="J866" s="22">
        <f>IF(OR(A866="",C866="",I866=""),"",I866*H866*C866/60)</f>
        <v/>
      </c>
    </row>
    <row r="867">
      <c r="A867" s="35" t="n"/>
      <c r="B867" s="33" t="n"/>
      <c r="C867" s="31" t="n"/>
      <c r="D867" s="30" t="n"/>
      <c r="E867" s="33" t="n"/>
      <c r="F867" s="20">
        <f>IF(A867="","",WEEKNUM(A867,21))</f>
        <v/>
      </c>
      <c r="G867" s="21">
        <f>IF(OR(C867="",N(D867)=0),"",C867/D867)</f>
        <v/>
      </c>
      <c r="H867" s="21">
        <f>IF(A867="","",IFERROR(INDEX(Weight!$B$2:$B$1000,MATCH(IF(_xlfn.MAXIFS(Weight!$A$2:$A$1000,Weight!$A$2:$A$1000,"&lt;="&amp;A867)&gt;0,_xlfn.MAXIFS(Weight!$A$2:$A$1000,Weight!$A$2:$A$1000,"&lt;="&amp;A867),_xlfn.MINIFS(Weight!$A$2:$A$1000,Weight!$A$2:$A$1000,"&gt;0")),Weight!$A$2:$A$1000,0)),Settings!$B$6))</f>
        <v/>
      </c>
      <c r="I867" s="21">
        <f>IF(B867="","",IFERROR(INDEX(Settings!$B$10:$B$21,MATCH(B867,Settings!$A$10:$A$21,0)),4))</f>
        <v/>
      </c>
      <c r="J867" s="22">
        <f>IF(OR(A867="",C867="",I867=""),"",I867*H867*C867/60)</f>
        <v/>
      </c>
    </row>
    <row r="868">
      <c r="A868" s="35" t="n"/>
      <c r="B868" s="33" t="n"/>
      <c r="C868" s="31" t="n"/>
      <c r="D868" s="30" t="n"/>
      <c r="E868" s="33" t="n"/>
      <c r="F868" s="20">
        <f>IF(A868="","",WEEKNUM(A868,21))</f>
        <v/>
      </c>
      <c r="G868" s="21">
        <f>IF(OR(C868="",N(D868)=0),"",C868/D868)</f>
        <v/>
      </c>
      <c r="H868" s="21">
        <f>IF(A868="","",IFERROR(INDEX(Weight!$B$2:$B$1000,MATCH(IF(_xlfn.MAXIFS(Weight!$A$2:$A$1000,Weight!$A$2:$A$1000,"&lt;="&amp;A868)&gt;0,_xlfn.MAXIFS(Weight!$A$2:$A$1000,Weight!$A$2:$A$1000,"&lt;="&amp;A868),_xlfn.MINIFS(Weight!$A$2:$A$1000,Weight!$A$2:$A$1000,"&gt;0")),Weight!$A$2:$A$1000,0)),Settings!$B$6))</f>
        <v/>
      </c>
      <c r="I868" s="21">
        <f>IF(B868="","",IFERROR(INDEX(Settings!$B$10:$B$21,MATCH(B868,Settings!$A$10:$A$21,0)),4))</f>
        <v/>
      </c>
      <c r="J868" s="22">
        <f>IF(OR(A868="",C868="",I868=""),"",I868*H868*C868/60)</f>
        <v/>
      </c>
    </row>
    <row r="869">
      <c r="A869" s="35" t="n"/>
      <c r="B869" s="33" t="n"/>
      <c r="C869" s="31" t="n"/>
      <c r="D869" s="30" t="n"/>
      <c r="E869" s="33" t="n"/>
      <c r="F869" s="20">
        <f>IF(A869="","",WEEKNUM(A869,21))</f>
        <v/>
      </c>
      <c r="G869" s="21">
        <f>IF(OR(C869="",N(D869)=0),"",C869/D869)</f>
        <v/>
      </c>
      <c r="H869" s="21">
        <f>IF(A869="","",IFERROR(INDEX(Weight!$B$2:$B$1000,MATCH(IF(_xlfn.MAXIFS(Weight!$A$2:$A$1000,Weight!$A$2:$A$1000,"&lt;="&amp;A869)&gt;0,_xlfn.MAXIFS(Weight!$A$2:$A$1000,Weight!$A$2:$A$1000,"&lt;="&amp;A869),_xlfn.MINIFS(Weight!$A$2:$A$1000,Weight!$A$2:$A$1000,"&gt;0")),Weight!$A$2:$A$1000,0)),Settings!$B$6))</f>
        <v/>
      </c>
      <c r="I869" s="21">
        <f>IF(B869="","",IFERROR(INDEX(Settings!$B$10:$B$21,MATCH(B869,Settings!$A$10:$A$21,0)),4))</f>
        <v/>
      </c>
      <c r="J869" s="22">
        <f>IF(OR(A869="",C869="",I869=""),"",I869*H869*C869/60)</f>
        <v/>
      </c>
    </row>
    <row r="870">
      <c r="A870" s="35" t="n"/>
      <c r="B870" s="33" t="n"/>
      <c r="C870" s="31" t="n"/>
      <c r="D870" s="30" t="n"/>
      <c r="E870" s="33" t="n"/>
      <c r="F870" s="20">
        <f>IF(A870="","",WEEKNUM(A870,21))</f>
        <v/>
      </c>
      <c r="G870" s="21">
        <f>IF(OR(C870="",N(D870)=0),"",C870/D870)</f>
        <v/>
      </c>
      <c r="H870" s="21">
        <f>IF(A870="","",IFERROR(INDEX(Weight!$B$2:$B$1000,MATCH(IF(_xlfn.MAXIFS(Weight!$A$2:$A$1000,Weight!$A$2:$A$1000,"&lt;="&amp;A870)&gt;0,_xlfn.MAXIFS(Weight!$A$2:$A$1000,Weight!$A$2:$A$1000,"&lt;="&amp;A870),_xlfn.MINIFS(Weight!$A$2:$A$1000,Weight!$A$2:$A$1000,"&gt;0")),Weight!$A$2:$A$1000,0)),Settings!$B$6))</f>
        <v/>
      </c>
      <c r="I870" s="21">
        <f>IF(B870="","",IFERROR(INDEX(Settings!$B$10:$B$21,MATCH(B870,Settings!$A$10:$A$21,0)),4))</f>
        <v/>
      </c>
      <c r="J870" s="22">
        <f>IF(OR(A870="",C870="",I870=""),"",I870*H870*C870/60)</f>
        <v/>
      </c>
    </row>
    <row r="871">
      <c r="A871" s="35" t="n"/>
      <c r="B871" s="33" t="n"/>
      <c r="C871" s="31" t="n"/>
      <c r="D871" s="30" t="n"/>
      <c r="E871" s="33" t="n"/>
      <c r="F871" s="20">
        <f>IF(A871="","",WEEKNUM(A871,21))</f>
        <v/>
      </c>
      <c r="G871" s="21">
        <f>IF(OR(C871="",N(D871)=0),"",C871/D871)</f>
        <v/>
      </c>
      <c r="H871" s="21">
        <f>IF(A871="","",IFERROR(INDEX(Weight!$B$2:$B$1000,MATCH(IF(_xlfn.MAXIFS(Weight!$A$2:$A$1000,Weight!$A$2:$A$1000,"&lt;="&amp;A871)&gt;0,_xlfn.MAXIFS(Weight!$A$2:$A$1000,Weight!$A$2:$A$1000,"&lt;="&amp;A871),_xlfn.MINIFS(Weight!$A$2:$A$1000,Weight!$A$2:$A$1000,"&gt;0")),Weight!$A$2:$A$1000,0)),Settings!$B$6))</f>
        <v/>
      </c>
      <c r="I871" s="21">
        <f>IF(B871="","",IFERROR(INDEX(Settings!$B$10:$B$21,MATCH(B871,Settings!$A$10:$A$21,0)),4))</f>
        <v/>
      </c>
      <c r="J871" s="22">
        <f>IF(OR(A871="",C871="",I871=""),"",I871*H871*C871/60)</f>
        <v/>
      </c>
    </row>
    <row r="872">
      <c r="A872" s="35" t="n"/>
      <c r="B872" s="33" t="n"/>
      <c r="C872" s="31" t="n"/>
      <c r="D872" s="30" t="n"/>
      <c r="E872" s="33" t="n"/>
      <c r="F872" s="20">
        <f>IF(A872="","",WEEKNUM(A872,21))</f>
        <v/>
      </c>
      <c r="G872" s="21">
        <f>IF(OR(C872="",N(D872)=0),"",C872/D872)</f>
        <v/>
      </c>
      <c r="H872" s="21">
        <f>IF(A872="","",IFERROR(INDEX(Weight!$B$2:$B$1000,MATCH(IF(_xlfn.MAXIFS(Weight!$A$2:$A$1000,Weight!$A$2:$A$1000,"&lt;="&amp;A872)&gt;0,_xlfn.MAXIFS(Weight!$A$2:$A$1000,Weight!$A$2:$A$1000,"&lt;="&amp;A872),_xlfn.MINIFS(Weight!$A$2:$A$1000,Weight!$A$2:$A$1000,"&gt;0")),Weight!$A$2:$A$1000,0)),Settings!$B$6))</f>
        <v/>
      </c>
      <c r="I872" s="21">
        <f>IF(B872="","",IFERROR(INDEX(Settings!$B$10:$B$21,MATCH(B872,Settings!$A$10:$A$21,0)),4))</f>
        <v/>
      </c>
      <c r="J872" s="22">
        <f>IF(OR(A872="",C872="",I872=""),"",I872*H872*C872/60)</f>
        <v/>
      </c>
    </row>
    <row r="873">
      <c r="A873" s="35" t="n"/>
      <c r="B873" s="33" t="n"/>
      <c r="C873" s="31" t="n"/>
      <c r="D873" s="30" t="n"/>
      <c r="E873" s="33" t="n"/>
      <c r="F873" s="20">
        <f>IF(A873="","",WEEKNUM(A873,21))</f>
        <v/>
      </c>
      <c r="G873" s="21">
        <f>IF(OR(C873="",N(D873)=0),"",C873/D873)</f>
        <v/>
      </c>
      <c r="H873" s="21">
        <f>IF(A873="","",IFERROR(INDEX(Weight!$B$2:$B$1000,MATCH(IF(_xlfn.MAXIFS(Weight!$A$2:$A$1000,Weight!$A$2:$A$1000,"&lt;="&amp;A873)&gt;0,_xlfn.MAXIFS(Weight!$A$2:$A$1000,Weight!$A$2:$A$1000,"&lt;="&amp;A873),_xlfn.MINIFS(Weight!$A$2:$A$1000,Weight!$A$2:$A$1000,"&gt;0")),Weight!$A$2:$A$1000,0)),Settings!$B$6))</f>
        <v/>
      </c>
      <c r="I873" s="21">
        <f>IF(B873="","",IFERROR(INDEX(Settings!$B$10:$B$21,MATCH(B873,Settings!$A$10:$A$21,0)),4))</f>
        <v/>
      </c>
      <c r="J873" s="22">
        <f>IF(OR(A873="",C873="",I873=""),"",I873*H873*C873/60)</f>
        <v/>
      </c>
    </row>
    <row r="874">
      <c r="A874" s="35" t="n"/>
      <c r="B874" s="33" t="n"/>
      <c r="C874" s="31" t="n"/>
      <c r="D874" s="30" t="n"/>
      <c r="E874" s="33" t="n"/>
      <c r="F874" s="20">
        <f>IF(A874="","",WEEKNUM(A874,21))</f>
        <v/>
      </c>
      <c r="G874" s="21">
        <f>IF(OR(C874="",N(D874)=0),"",C874/D874)</f>
        <v/>
      </c>
      <c r="H874" s="21">
        <f>IF(A874="","",IFERROR(INDEX(Weight!$B$2:$B$1000,MATCH(IF(_xlfn.MAXIFS(Weight!$A$2:$A$1000,Weight!$A$2:$A$1000,"&lt;="&amp;A874)&gt;0,_xlfn.MAXIFS(Weight!$A$2:$A$1000,Weight!$A$2:$A$1000,"&lt;="&amp;A874),_xlfn.MINIFS(Weight!$A$2:$A$1000,Weight!$A$2:$A$1000,"&gt;0")),Weight!$A$2:$A$1000,0)),Settings!$B$6))</f>
        <v/>
      </c>
      <c r="I874" s="21">
        <f>IF(B874="","",IFERROR(INDEX(Settings!$B$10:$B$21,MATCH(B874,Settings!$A$10:$A$21,0)),4))</f>
        <v/>
      </c>
      <c r="J874" s="22">
        <f>IF(OR(A874="",C874="",I874=""),"",I874*H874*C874/60)</f>
        <v/>
      </c>
    </row>
    <row r="875">
      <c r="A875" s="35" t="n"/>
      <c r="B875" s="33" t="n"/>
      <c r="C875" s="31" t="n"/>
      <c r="D875" s="30" t="n"/>
      <c r="E875" s="33" t="n"/>
      <c r="F875" s="20">
        <f>IF(A875="","",WEEKNUM(A875,21))</f>
        <v/>
      </c>
      <c r="G875" s="21">
        <f>IF(OR(C875="",N(D875)=0),"",C875/D875)</f>
        <v/>
      </c>
      <c r="H875" s="21">
        <f>IF(A875="","",IFERROR(INDEX(Weight!$B$2:$B$1000,MATCH(IF(_xlfn.MAXIFS(Weight!$A$2:$A$1000,Weight!$A$2:$A$1000,"&lt;="&amp;A875)&gt;0,_xlfn.MAXIFS(Weight!$A$2:$A$1000,Weight!$A$2:$A$1000,"&lt;="&amp;A875),_xlfn.MINIFS(Weight!$A$2:$A$1000,Weight!$A$2:$A$1000,"&gt;0")),Weight!$A$2:$A$1000,0)),Settings!$B$6))</f>
        <v/>
      </c>
      <c r="I875" s="21">
        <f>IF(B875="","",IFERROR(INDEX(Settings!$B$10:$B$21,MATCH(B875,Settings!$A$10:$A$21,0)),4))</f>
        <v/>
      </c>
      <c r="J875" s="22">
        <f>IF(OR(A875="",C875="",I875=""),"",I875*H875*C875/60)</f>
        <v/>
      </c>
    </row>
    <row r="876">
      <c r="A876" s="35" t="n"/>
      <c r="B876" s="33" t="n"/>
      <c r="C876" s="31" t="n"/>
      <c r="D876" s="30" t="n"/>
      <c r="E876" s="33" t="n"/>
      <c r="F876" s="20">
        <f>IF(A876="","",WEEKNUM(A876,21))</f>
        <v/>
      </c>
      <c r="G876" s="21">
        <f>IF(OR(C876="",N(D876)=0),"",C876/D876)</f>
        <v/>
      </c>
      <c r="H876" s="21">
        <f>IF(A876="","",IFERROR(INDEX(Weight!$B$2:$B$1000,MATCH(IF(_xlfn.MAXIFS(Weight!$A$2:$A$1000,Weight!$A$2:$A$1000,"&lt;="&amp;A876)&gt;0,_xlfn.MAXIFS(Weight!$A$2:$A$1000,Weight!$A$2:$A$1000,"&lt;="&amp;A876),_xlfn.MINIFS(Weight!$A$2:$A$1000,Weight!$A$2:$A$1000,"&gt;0")),Weight!$A$2:$A$1000,0)),Settings!$B$6))</f>
        <v/>
      </c>
      <c r="I876" s="21">
        <f>IF(B876="","",IFERROR(INDEX(Settings!$B$10:$B$21,MATCH(B876,Settings!$A$10:$A$21,0)),4))</f>
        <v/>
      </c>
      <c r="J876" s="22">
        <f>IF(OR(A876="",C876="",I876=""),"",I876*H876*C876/60)</f>
        <v/>
      </c>
    </row>
    <row r="877">
      <c r="A877" s="35" t="n"/>
      <c r="B877" s="33" t="n"/>
      <c r="C877" s="31" t="n"/>
      <c r="D877" s="30" t="n"/>
      <c r="E877" s="33" t="n"/>
      <c r="F877" s="20">
        <f>IF(A877="","",WEEKNUM(A877,21))</f>
        <v/>
      </c>
      <c r="G877" s="21">
        <f>IF(OR(C877="",N(D877)=0),"",C877/D877)</f>
        <v/>
      </c>
      <c r="H877" s="21">
        <f>IF(A877="","",IFERROR(INDEX(Weight!$B$2:$B$1000,MATCH(IF(_xlfn.MAXIFS(Weight!$A$2:$A$1000,Weight!$A$2:$A$1000,"&lt;="&amp;A877)&gt;0,_xlfn.MAXIFS(Weight!$A$2:$A$1000,Weight!$A$2:$A$1000,"&lt;="&amp;A877),_xlfn.MINIFS(Weight!$A$2:$A$1000,Weight!$A$2:$A$1000,"&gt;0")),Weight!$A$2:$A$1000,0)),Settings!$B$6))</f>
        <v/>
      </c>
      <c r="I877" s="21">
        <f>IF(B877="","",IFERROR(INDEX(Settings!$B$10:$B$21,MATCH(B877,Settings!$A$10:$A$21,0)),4))</f>
        <v/>
      </c>
      <c r="J877" s="22">
        <f>IF(OR(A877="",C877="",I877=""),"",I877*H877*C877/60)</f>
        <v/>
      </c>
    </row>
    <row r="878">
      <c r="A878" s="35" t="n"/>
      <c r="B878" s="33" t="n"/>
      <c r="C878" s="31" t="n"/>
      <c r="D878" s="30" t="n"/>
      <c r="E878" s="33" t="n"/>
      <c r="F878" s="20">
        <f>IF(A878="","",WEEKNUM(A878,21))</f>
        <v/>
      </c>
      <c r="G878" s="21">
        <f>IF(OR(C878="",N(D878)=0),"",C878/D878)</f>
        <v/>
      </c>
      <c r="H878" s="21">
        <f>IF(A878="","",IFERROR(INDEX(Weight!$B$2:$B$1000,MATCH(IF(_xlfn.MAXIFS(Weight!$A$2:$A$1000,Weight!$A$2:$A$1000,"&lt;="&amp;A878)&gt;0,_xlfn.MAXIFS(Weight!$A$2:$A$1000,Weight!$A$2:$A$1000,"&lt;="&amp;A878),_xlfn.MINIFS(Weight!$A$2:$A$1000,Weight!$A$2:$A$1000,"&gt;0")),Weight!$A$2:$A$1000,0)),Settings!$B$6))</f>
        <v/>
      </c>
      <c r="I878" s="21">
        <f>IF(B878="","",IFERROR(INDEX(Settings!$B$10:$B$21,MATCH(B878,Settings!$A$10:$A$21,0)),4))</f>
        <v/>
      </c>
      <c r="J878" s="22">
        <f>IF(OR(A878="",C878="",I878=""),"",I878*H878*C878/60)</f>
        <v/>
      </c>
    </row>
    <row r="879">
      <c r="A879" s="35" t="n"/>
      <c r="B879" s="33" t="n"/>
      <c r="C879" s="31" t="n"/>
      <c r="D879" s="30" t="n"/>
      <c r="E879" s="33" t="n"/>
      <c r="F879" s="20">
        <f>IF(A879="","",WEEKNUM(A879,21))</f>
        <v/>
      </c>
      <c r="G879" s="21">
        <f>IF(OR(C879="",N(D879)=0),"",C879/D879)</f>
        <v/>
      </c>
      <c r="H879" s="21">
        <f>IF(A879="","",IFERROR(INDEX(Weight!$B$2:$B$1000,MATCH(IF(_xlfn.MAXIFS(Weight!$A$2:$A$1000,Weight!$A$2:$A$1000,"&lt;="&amp;A879)&gt;0,_xlfn.MAXIFS(Weight!$A$2:$A$1000,Weight!$A$2:$A$1000,"&lt;="&amp;A879),_xlfn.MINIFS(Weight!$A$2:$A$1000,Weight!$A$2:$A$1000,"&gt;0")),Weight!$A$2:$A$1000,0)),Settings!$B$6))</f>
        <v/>
      </c>
      <c r="I879" s="21">
        <f>IF(B879="","",IFERROR(INDEX(Settings!$B$10:$B$21,MATCH(B879,Settings!$A$10:$A$21,0)),4))</f>
        <v/>
      </c>
      <c r="J879" s="22">
        <f>IF(OR(A879="",C879="",I879=""),"",I879*H879*C879/60)</f>
        <v/>
      </c>
    </row>
    <row r="880">
      <c r="A880" s="35" t="n"/>
      <c r="B880" s="33" t="n"/>
      <c r="C880" s="31" t="n"/>
      <c r="D880" s="30" t="n"/>
      <c r="E880" s="33" t="n"/>
      <c r="F880" s="20">
        <f>IF(A880="","",WEEKNUM(A880,21))</f>
        <v/>
      </c>
      <c r="G880" s="21">
        <f>IF(OR(C880="",N(D880)=0),"",C880/D880)</f>
        <v/>
      </c>
      <c r="H880" s="21">
        <f>IF(A880="","",IFERROR(INDEX(Weight!$B$2:$B$1000,MATCH(IF(_xlfn.MAXIFS(Weight!$A$2:$A$1000,Weight!$A$2:$A$1000,"&lt;="&amp;A880)&gt;0,_xlfn.MAXIFS(Weight!$A$2:$A$1000,Weight!$A$2:$A$1000,"&lt;="&amp;A880),_xlfn.MINIFS(Weight!$A$2:$A$1000,Weight!$A$2:$A$1000,"&gt;0")),Weight!$A$2:$A$1000,0)),Settings!$B$6))</f>
        <v/>
      </c>
      <c r="I880" s="21">
        <f>IF(B880="","",IFERROR(INDEX(Settings!$B$10:$B$21,MATCH(B880,Settings!$A$10:$A$21,0)),4))</f>
        <v/>
      </c>
      <c r="J880" s="22">
        <f>IF(OR(A880="",C880="",I880=""),"",I880*H880*C880/60)</f>
        <v/>
      </c>
    </row>
    <row r="881">
      <c r="A881" s="35" t="n"/>
      <c r="B881" s="33" t="n"/>
      <c r="C881" s="31" t="n"/>
      <c r="D881" s="30" t="n"/>
      <c r="E881" s="33" t="n"/>
      <c r="F881" s="20">
        <f>IF(A881="","",WEEKNUM(A881,21))</f>
        <v/>
      </c>
      <c r="G881" s="21">
        <f>IF(OR(C881="",N(D881)=0),"",C881/D881)</f>
        <v/>
      </c>
      <c r="H881" s="21">
        <f>IF(A881="","",IFERROR(INDEX(Weight!$B$2:$B$1000,MATCH(IF(_xlfn.MAXIFS(Weight!$A$2:$A$1000,Weight!$A$2:$A$1000,"&lt;="&amp;A881)&gt;0,_xlfn.MAXIFS(Weight!$A$2:$A$1000,Weight!$A$2:$A$1000,"&lt;="&amp;A881),_xlfn.MINIFS(Weight!$A$2:$A$1000,Weight!$A$2:$A$1000,"&gt;0")),Weight!$A$2:$A$1000,0)),Settings!$B$6))</f>
        <v/>
      </c>
      <c r="I881" s="21">
        <f>IF(B881="","",IFERROR(INDEX(Settings!$B$10:$B$21,MATCH(B881,Settings!$A$10:$A$21,0)),4))</f>
        <v/>
      </c>
      <c r="J881" s="22">
        <f>IF(OR(A881="",C881="",I881=""),"",I881*H881*C881/60)</f>
        <v/>
      </c>
    </row>
    <row r="882">
      <c r="A882" s="35" t="n"/>
      <c r="B882" s="33" t="n"/>
      <c r="C882" s="31" t="n"/>
      <c r="D882" s="30" t="n"/>
      <c r="E882" s="33" t="n"/>
      <c r="F882" s="20">
        <f>IF(A882="","",WEEKNUM(A882,21))</f>
        <v/>
      </c>
      <c r="G882" s="21">
        <f>IF(OR(C882="",N(D882)=0),"",C882/D882)</f>
        <v/>
      </c>
      <c r="H882" s="21">
        <f>IF(A882="","",IFERROR(INDEX(Weight!$B$2:$B$1000,MATCH(IF(_xlfn.MAXIFS(Weight!$A$2:$A$1000,Weight!$A$2:$A$1000,"&lt;="&amp;A882)&gt;0,_xlfn.MAXIFS(Weight!$A$2:$A$1000,Weight!$A$2:$A$1000,"&lt;="&amp;A882),_xlfn.MINIFS(Weight!$A$2:$A$1000,Weight!$A$2:$A$1000,"&gt;0")),Weight!$A$2:$A$1000,0)),Settings!$B$6))</f>
        <v/>
      </c>
      <c r="I882" s="21">
        <f>IF(B882="","",IFERROR(INDEX(Settings!$B$10:$B$21,MATCH(B882,Settings!$A$10:$A$21,0)),4))</f>
        <v/>
      </c>
      <c r="J882" s="22">
        <f>IF(OR(A882="",C882="",I882=""),"",I882*H882*C882/60)</f>
        <v/>
      </c>
    </row>
    <row r="883">
      <c r="A883" s="35" t="n"/>
      <c r="B883" s="33" t="n"/>
      <c r="C883" s="31" t="n"/>
      <c r="D883" s="30" t="n"/>
      <c r="E883" s="33" t="n"/>
      <c r="F883" s="20">
        <f>IF(A883="","",WEEKNUM(A883,21))</f>
        <v/>
      </c>
      <c r="G883" s="21">
        <f>IF(OR(C883="",N(D883)=0),"",C883/D883)</f>
        <v/>
      </c>
      <c r="H883" s="21">
        <f>IF(A883="","",IFERROR(INDEX(Weight!$B$2:$B$1000,MATCH(IF(_xlfn.MAXIFS(Weight!$A$2:$A$1000,Weight!$A$2:$A$1000,"&lt;="&amp;A883)&gt;0,_xlfn.MAXIFS(Weight!$A$2:$A$1000,Weight!$A$2:$A$1000,"&lt;="&amp;A883),_xlfn.MINIFS(Weight!$A$2:$A$1000,Weight!$A$2:$A$1000,"&gt;0")),Weight!$A$2:$A$1000,0)),Settings!$B$6))</f>
        <v/>
      </c>
      <c r="I883" s="21">
        <f>IF(B883="","",IFERROR(INDEX(Settings!$B$10:$B$21,MATCH(B883,Settings!$A$10:$A$21,0)),4))</f>
        <v/>
      </c>
      <c r="J883" s="22">
        <f>IF(OR(A883="",C883="",I883=""),"",I883*H883*C883/60)</f>
        <v/>
      </c>
    </row>
    <row r="884">
      <c r="A884" s="35" t="n"/>
      <c r="B884" s="33" t="n"/>
      <c r="C884" s="31" t="n"/>
      <c r="D884" s="30" t="n"/>
      <c r="E884" s="33" t="n"/>
      <c r="F884" s="20">
        <f>IF(A884="","",WEEKNUM(A884,21))</f>
        <v/>
      </c>
      <c r="G884" s="21">
        <f>IF(OR(C884="",N(D884)=0),"",C884/D884)</f>
        <v/>
      </c>
      <c r="H884" s="21">
        <f>IF(A884="","",IFERROR(INDEX(Weight!$B$2:$B$1000,MATCH(IF(_xlfn.MAXIFS(Weight!$A$2:$A$1000,Weight!$A$2:$A$1000,"&lt;="&amp;A884)&gt;0,_xlfn.MAXIFS(Weight!$A$2:$A$1000,Weight!$A$2:$A$1000,"&lt;="&amp;A884),_xlfn.MINIFS(Weight!$A$2:$A$1000,Weight!$A$2:$A$1000,"&gt;0")),Weight!$A$2:$A$1000,0)),Settings!$B$6))</f>
        <v/>
      </c>
      <c r="I884" s="21">
        <f>IF(B884="","",IFERROR(INDEX(Settings!$B$10:$B$21,MATCH(B884,Settings!$A$10:$A$21,0)),4))</f>
        <v/>
      </c>
      <c r="J884" s="22">
        <f>IF(OR(A884="",C884="",I884=""),"",I884*H884*C884/60)</f>
        <v/>
      </c>
    </row>
    <row r="885">
      <c r="A885" s="35" t="n"/>
      <c r="B885" s="33" t="n"/>
      <c r="C885" s="31" t="n"/>
      <c r="D885" s="30" t="n"/>
      <c r="E885" s="33" t="n"/>
      <c r="F885" s="20">
        <f>IF(A885="","",WEEKNUM(A885,21))</f>
        <v/>
      </c>
      <c r="G885" s="21">
        <f>IF(OR(C885="",N(D885)=0),"",C885/D885)</f>
        <v/>
      </c>
      <c r="H885" s="21">
        <f>IF(A885="","",IFERROR(INDEX(Weight!$B$2:$B$1000,MATCH(IF(_xlfn.MAXIFS(Weight!$A$2:$A$1000,Weight!$A$2:$A$1000,"&lt;="&amp;A885)&gt;0,_xlfn.MAXIFS(Weight!$A$2:$A$1000,Weight!$A$2:$A$1000,"&lt;="&amp;A885),_xlfn.MINIFS(Weight!$A$2:$A$1000,Weight!$A$2:$A$1000,"&gt;0")),Weight!$A$2:$A$1000,0)),Settings!$B$6))</f>
        <v/>
      </c>
      <c r="I885" s="21">
        <f>IF(B885="","",IFERROR(INDEX(Settings!$B$10:$B$21,MATCH(B885,Settings!$A$10:$A$21,0)),4))</f>
        <v/>
      </c>
      <c r="J885" s="22">
        <f>IF(OR(A885="",C885="",I885=""),"",I885*H885*C885/60)</f>
        <v/>
      </c>
    </row>
    <row r="886">
      <c r="A886" s="35" t="n"/>
      <c r="B886" s="33" t="n"/>
      <c r="C886" s="31" t="n"/>
      <c r="D886" s="30" t="n"/>
      <c r="E886" s="33" t="n"/>
      <c r="F886" s="20">
        <f>IF(A886="","",WEEKNUM(A886,21))</f>
        <v/>
      </c>
      <c r="G886" s="21">
        <f>IF(OR(C886="",N(D886)=0),"",C886/D886)</f>
        <v/>
      </c>
      <c r="H886" s="21">
        <f>IF(A886="","",IFERROR(INDEX(Weight!$B$2:$B$1000,MATCH(IF(_xlfn.MAXIFS(Weight!$A$2:$A$1000,Weight!$A$2:$A$1000,"&lt;="&amp;A886)&gt;0,_xlfn.MAXIFS(Weight!$A$2:$A$1000,Weight!$A$2:$A$1000,"&lt;="&amp;A886),_xlfn.MINIFS(Weight!$A$2:$A$1000,Weight!$A$2:$A$1000,"&gt;0")),Weight!$A$2:$A$1000,0)),Settings!$B$6))</f>
        <v/>
      </c>
      <c r="I886" s="21">
        <f>IF(B886="","",IFERROR(INDEX(Settings!$B$10:$B$21,MATCH(B886,Settings!$A$10:$A$21,0)),4))</f>
        <v/>
      </c>
      <c r="J886" s="22">
        <f>IF(OR(A886="",C886="",I886=""),"",I886*H886*C886/60)</f>
        <v/>
      </c>
    </row>
    <row r="887">
      <c r="A887" s="35" t="n"/>
      <c r="B887" s="33" t="n"/>
      <c r="C887" s="31" t="n"/>
      <c r="D887" s="30" t="n"/>
      <c r="E887" s="33" t="n"/>
      <c r="F887" s="20">
        <f>IF(A887="","",WEEKNUM(A887,21))</f>
        <v/>
      </c>
      <c r="G887" s="21">
        <f>IF(OR(C887="",N(D887)=0),"",C887/D887)</f>
        <v/>
      </c>
      <c r="H887" s="21">
        <f>IF(A887="","",IFERROR(INDEX(Weight!$B$2:$B$1000,MATCH(IF(_xlfn.MAXIFS(Weight!$A$2:$A$1000,Weight!$A$2:$A$1000,"&lt;="&amp;A887)&gt;0,_xlfn.MAXIFS(Weight!$A$2:$A$1000,Weight!$A$2:$A$1000,"&lt;="&amp;A887),_xlfn.MINIFS(Weight!$A$2:$A$1000,Weight!$A$2:$A$1000,"&gt;0")),Weight!$A$2:$A$1000,0)),Settings!$B$6))</f>
        <v/>
      </c>
      <c r="I887" s="21">
        <f>IF(B887="","",IFERROR(INDEX(Settings!$B$10:$B$21,MATCH(B887,Settings!$A$10:$A$21,0)),4))</f>
        <v/>
      </c>
      <c r="J887" s="22">
        <f>IF(OR(A887="",C887="",I887=""),"",I887*H887*C887/60)</f>
        <v/>
      </c>
    </row>
    <row r="888">
      <c r="A888" s="35" t="n"/>
      <c r="B888" s="33" t="n"/>
      <c r="C888" s="31" t="n"/>
      <c r="D888" s="30" t="n"/>
      <c r="E888" s="33" t="n"/>
      <c r="F888" s="20">
        <f>IF(A888="","",WEEKNUM(A888,21))</f>
        <v/>
      </c>
      <c r="G888" s="21">
        <f>IF(OR(C888="",N(D888)=0),"",C888/D888)</f>
        <v/>
      </c>
      <c r="H888" s="21">
        <f>IF(A888="","",IFERROR(INDEX(Weight!$B$2:$B$1000,MATCH(IF(_xlfn.MAXIFS(Weight!$A$2:$A$1000,Weight!$A$2:$A$1000,"&lt;="&amp;A888)&gt;0,_xlfn.MAXIFS(Weight!$A$2:$A$1000,Weight!$A$2:$A$1000,"&lt;="&amp;A888),_xlfn.MINIFS(Weight!$A$2:$A$1000,Weight!$A$2:$A$1000,"&gt;0")),Weight!$A$2:$A$1000,0)),Settings!$B$6))</f>
        <v/>
      </c>
      <c r="I888" s="21">
        <f>IF(B888="","",IFERROR(INDEX(Settings!$B$10:$B$21,MATCH(B888,Settings!$A$10:$A$21,0)),4))</f>
        <v/>
      </c>
      <c r="J888" s="22">
        <f>IF(OR(A888="",C888="",I888=""),"",I888*H888*C888/60)</f>
        <v/>
      </c>
    </row>
    <row r="889">
      <c r="A889" s="35" t="n"/>
      <c r="B889" s="33" t="n"/>
      <c r="C889" s="31" t="n"/>
      <c r="D889" s="30" t="n"/>
      <c r="E889" s="33" t="n"/>
      <c r="F889" s="20">
        <f>IF(A889="","",WEEKNUM(A889,21))</f>
        <v/>
      </c>
      <c r="G889" s="21">
        <f>IF(OR(C889="",N(D889)=0),"",C889/D889)</f>
        <v/>
      </c>
      <c r="H889" s="21">
        <f>IF(A889="","",IFERROR(INDEX(Weight!$B$2:$B$1000,MATCH(IF(_xlfn.MAXIFS(Weight!$A$2:$A$1000,Weight!$A$2:$A$1000,"&lt;="&amp;A889)&gt;0,_xlfn.MAXIFS(Weight!$A$2:$A$1000,Weight!$A$2:$A$1000,"&lt;="&amp;A889),_xlfn.MINIFS(Weight!$A$2:$A$1000,Weight!$A$2:$A$1000,"&gt;0")),Weight!$A$2:$A$1000,0)),Settings!$B$6))</f>
        <v/>
      </c>
      <c r="I889" s="21">
        <f>IF(B889="","",IFERROR(INDEX(Settings!$B$10:$B$21,MATCH(B889,Settings!$A$10:$A$21,0)),4))</f>
        <v/>
      </c>
      <c r="J889" s="22">
        <f>IF(OR(A889="",C889="",I889=""),"",I889*H889*C889/60)</f>
        <v/>
      </c>
    </row>
    <row r="890">
      <c r="A890" s="35" t="n"/>
      <c r="B890" s="33" t="n"/>
      <c r="C890" s="31" t="n"/>
      <c r="D890" s="30" t="n"/>
      <c r="E890" s="33" t="n"/>
      <c r="F890" s="20">
        <f>IF(A890="","",WEEKNUM(A890,21))</f>
        <v/>
      </c>
      <c r="G890" s="21">
        <f>IF(OR(C890="",N(D890)=0),"",C890/D890)</f>
        <v/>
      </c>
      <c r="H890" s="21">
        <f>IF(A890="","",IFERROR(INDEX(Weight!$B$2:$B$1000,MATCH(IF(_xlfn.MAXIFS(Weight!$A$2:$A$1000,Weight!$A$2:$A$1000,"&lt;="&amp;A890)&gt;0,_xlfn.MAXIFS(Weight!$A$2:$A$1000,Weight!$A$2:$A$1000,"&lt;="&amp;A890),_xlfn.MINIFS(Weight!$A$2:$A$1000,Weight!$A$2:$A$1000,"&gt;0")),Weight!$A$2:$A$1000,0)),Settings!$B$6))</f>
        <v/>
      </c>
      <c r="I890" s="21">
        <f>IF(B890="","",IFERROR(INDEX(Settings!$B$10:$B$21,MATCH(B890,Settings!$A$10:$A$21,0)),4))</f>
        <v/>
      </c>
      <c r="J890" s="22">
        <f>IF(OR(A890="",C890="",I890=""),"",I890*H890*C890/60)</f>
        <v/>
      </c>
    </row>
    <row r="891">
      <c r="A891" s="35" t="n"/>
      <c r="B891" s="33" t="n"/>
      <c r="C891" s="31" t="n"/>
      <c r="D891" s="30" t="n"/>
      <c r="E891" s="33" t="n"/>
      <c r="F891" s="20">
        <f>IF(A891="","",WEEKNUM(A891,21))</f>
        <v/>
      </c>
      <c r="G891" s="21">
        <f>IF(OR(C891="",N(D891)=0),"",C891/D891)</f>
        <v/>
      </c>
      <c r="H891" s="21">
        <f>IF(A891="","",IFERROR(INDEX(Weight!$B$2:$B$1000,MATCH(IF(_xlfn.MAXIFS(Weight!$A$2:$A$1000,Weight!$A$2:$A$1000,"&lt;="&amp;A891)&gt;0,_xlfn.MAXIFS(Weight!$A$2:$A$1000,Weight!$A$2:$A$1000,"&lt;="&amp;A891),_xlfn.MINIFS(Weight!$A$2:$A$1000,Weight!$A$2:$A$1000,"&gt;0")),Weight!$A$2:$A$1000,0)),Settings!$B$6))</f>
        <v/>
      </c>
      <c r="I891" s="21">
        <f>IF(B891="","",IFERROR(INDEX(Settings!$B$10:$B$21,MATCH(B891,Settings!$A$10:$A$21,0)),4))</f>
        <v/>
      </c>
      <c r="J891" s="22">
        <f>IF(OR(A891="",C891="",I891=""),"",I891*H891*C891/60)</f>
        <v/>
      </c>
    </row>
    <row r="892">
      <c r="A892" s="35" t="n"/>
      <c r="B892" s="33" t="n"/>
      <c r="C892" s="31" t="n"/>
      <c r="D892" s="30" t="n"/>
      <c r="E892" s="33" t="n"/>
      <c r="F892" s="20">
        <f>IF(A892="","",WEEKNUM(A892,21))</f>
        <v/>
      </c>
      <c r="G892" s="21">
        <f>IF(OR(C892="",N(D892)=0),"",C892/D892)</f>
        <v/>
      </c>
      <c r="H892" s="21">
        <f>IF(A892="","",IFERROR(INDEX(Weight!$B$2:$B$1000,MATCH(IF(_xlfn.MAXIFS(Weight!$A$2:$A$1000,Weight!$A$2:$A$1000,"&lt;="&amp;A892)&gt;0,_xlfn.MAXIFS(Weight!$A$2:$A$1000,Weight!$A$2:$A$1000,"&lt;="&amp;A892),_xlfn.MINIFS(Weight!$A$2:$A$1000,Weight!$A$2:$A$1000,"&gt;0")),Weight!$A$2:$A$1000,0)),Settings!$B$6))</f>
        <v/>
      </c>
      <c r="I892" s="21">
        <f>IF(B892="","",IFERROR(INDEX(Settings!$B$10:$B$21,MATCH(B892,Settings!$A$10:$A$21,0)),4))</f>
        <v/>
      </c>
      <c r="J892" s="22">
        <f>IF(OR(A892="",C892="",I892=""),"",I892*H892*C892/60)</f>
        <v/>
      </c>
    </row>
    <row r="893">
      <c r="A893" s="35" t="n"/>
      <c r="B893" s="33" t="n"/>
      <c r="C893" s="31" t="n"/>
      <c r="D893" s="30" t="n"/>
      <c r="E893" s="33" t="n"/>
      <c r="F893" s="20">
        <f>IF(A893="","",WEEKNUM(A893,21))</f>
        <v/>
      </c>
      <c r="G893" s="21">
        <f>IF(OR(C893="",N(D893)=0),"",C893/D893)</f>
        <v/>
      </c>
      <c r="H893" s="21">
        <f>IF(A893="","",IFERROR(INDEX(Weight!$B$2:$B$1000,MATCH(IF(_xlfn.MAXIFS(Weight!$A$2:$A$1000,Weight!$A$2:$A$1000,"&lt;="&amp;A893)&gt;0,_xlfn.MAXIFS(Weight!$A$2:$A$1000,Weight!$A$2:$A$1000,"&lt;="&amp;A893),_xlfn.MINIFS(Weight!$A$2:$A$1000,Weight!$A$2:$A$1000,"&gt;0")),Weight!$A$2:$A$1000,0)),Settings!$B$6))</f>
        <v/>
      </c>
      <c r="I893" s="21">
        <f>IF(B893="","",IFERROR(INDEX(Settings!$B$10:$B$21,MATCH(B893,Settings!$A$10:$A$21,0)),4))</f>
        <v/>
      </c>
      <c r="J893" s="22">
        <f>IF(OR(A893="",C893="",I893=""),"",I893*H893*C893/60)</f>
        <v/>
      </c>
    </row>
    <row r="894">
      <c r="A894" s="35" t="n"/>
      <c r="B894" s="33" t="n"/>
      <c r="C894" s="31" t="n"/>
      <c r="D894" s="30" t="n"/>
      <c r="E894" s="33" t="n"/>
      <c r="F894" s="20">
        <f>IF(A894="","",WEEKNUM(A894,21))</f>
        <v/>
      </c>
      <c r="G894" s="21">
        <f>IF(OR(C894="",N(D894)=0),"",C894/D894)</f>
        <v/>
      </c>
      <c r="H894" s="21">
        <f>IF(A894="","",IFERROR(INDEX(Weight!$B$2:$B$1000,MATCH(IF(_xlfn.MAXIFS(Weight!$A$2:$A$1000,Weight!$A$2:$A$1000,"&lt;="&amp;A894)&gt;0,_xlfn.MAXIFS(Weight!$A$2:$A$1000,Weight!$A$2:$A$1000,"&lt;="&amp;A894),_xlfn.MINIFS(Weight!$A$2:$A$1000,Weight!$A$2:$A$1000,"&gt;0")),Weight!$A$2:$A$1000,0)),Settings!$B$6))</f>
        <v/>
      </c>
      <c r="I894" s="21">
        <f>IF(B894="","",IFERROR(INDEX(Settings!$B$10:$B$21,MATCH(B894,Settings!$A$10:$A$21,0)),4))</f>
        <v/>
      </c>
      <c r="J894" s="22">
        <f>IF(OR(A894="",C894="",I894=""),"",I894*H894*C894/60)</f>
        <v/>
      </c>
    </row>
    <row r="895">
      <c r="A895" s="35" t="n"/>
      <c r="B895" s="33" t="n"/>
      <c r="C895" s="31" t="n"/>
      <c r="D895" s="30" t="n"/>
      <c r="E895" s="33" t="n"/>
      <c r="F895" s="20">
        <f>IF(A895="","",WEEKNUM(A895,21))</f>
        <v/>
      </c>
      <c r="G895" s="21">
        <f>IF(OR(C895="",N(D895)=0),"",C895/D895)</f>
        <v/>
      </c>
      <c r="H895" s="21">
        <f>IF(A895="","",IFERROR(INDEX(Weight!$B$2:$B$1000,MATCH(IF(_xlfn.MAXIFS(Weight!$A$2:$A$1000,Weight!$A$2:$A$1000,"&lt;="&amp;A895)&gt;0,_xlfn.MAXIFS(Weight!$A$2:$A$1000,Weight!$A$2:$A$1000,"&lt;="&amp;A895),_xlfn.MINIFS(Weight!$A$2:$A$1000,Weight!$A$2:$A$1000,"&gt;0")),Weight!$A$2:$A$1000,0)),Settings!$B$6))</f>
        <v/>
      </c>
      <c r="I895" s="21">
        <f>IF(B895="","",IFERROR(INDEX(Settings!$B$10:$B$21,MATCH(B895,Settings!$A$10:$A$21,0)),4))</f>
        <v/>
      </c>
      <c r="J895" s="22">
        <f>IF(OR(A895="",C895="",I895=""),"",I895*H895*C895/60)</f>
        <v/>
      </c>
    </row>
    <row r="896">
      <c r="A896" s="35" t="n"/>
      <c r="B896" s="33" t="n"/>
      <c r="C896" s="31" t="n"/>
      <c r="D896" s="30" t="n"/>
      <c r="E896" s="33" t="n"/>
      <c r="F896" s="20">
        <f>IF(A896="","",WEEKNUM(A896,21))</f>
        <v/>
      </c>
      <c r="G896" s="21">
        <f>IF(OR(C896="",N(D896)=0),"",C896/D896)</f>
        <v/>
      </c>
      <c r="H896" s="21">
        <f>IF(A896="","",IFERROR(INDEX(Weight!$B$2:$B$1000,MATCH(IF(_xlfn.MAXIFS(Weight!$A$2:$A$1000,Weight!$A$2:$A$1000,"&lt;="&amp;A896)&gt;0,_xlfn.MAXIFS(Weight!$A$2:$A$1000,Weight!$A$2:$A$1000,"&lt;="&amp;A896),_xlfn.MINIFS(Weight!$A$2:$A$1000,Weight!$A$2:$A$1000,"&gt;0")),Weight!$A$2:$A$1000,0)),Settings!$B$6))</f>
        <v/>
      </c>
      <c r="I896" s="21">
        <f>IF(B896="","",IFERROR(INDEX(Settings!$B$10:$B$21,MATCH(B896,Settings!$A$10:$A$21,0)),4))</f>
        <v/>
      </c>
      <c r="J896" s="22">
        <f>IF(OR(A896="",C896="",I896=""),"",I896*H896*C896/60)</f>
        <v/>
      </c>
    </row>
    <row r="897">
      <c r="A897" s="35" t="n"/>
      <c r="B897" s="33" t="n"/>
      <c r="C897" s="31" t="n"/>
      <c r="D897" s="30" t="n"/>
      <c r="E897" s="33" t="n"/>
      <c r="F897" s="20">
        <f>IF(A897="","",WEEKNUM(A897,21))</f>
        <v/>
      </c>
      <c r="G897" s="21">
        <f>IF(OR(C897="",N(D897)=0),"",C897/D897)</f>
        <v/>
      </c>
      <c r="H897" s="21">
        <f>IF(A897="","",IFERROR(INDEX(Weight!$B$2:$B$1000,MATCH(IF(_xlfn.MAXIFS(Weight!$A$2:$A$1000,Weight!$A$2:$A$1000,"&lt;="&amp;A897)&gt;0,_xlfn.MAXIFS(Weight!$A$2:$A$1000,Weight!$A$2:$A$1000,"&lt;="&amp;A897),_xlfn.MINIFS(Weight!$A$2:$A$1000,Weight!$A$2:$A$1000,"&gt;0")),Weight!$A$2:$A$1000,0)),Settings!$B$6))</f>
        <v/>
      </c>
      <c r="I897" s="21">
        <f>IF(B897="","",IFERROR(INDEX(Settings!$B$10:$B$21,MATCH(B897,Settings!$A$10:$A$21,0)),4))</f>
        <v/>
      </c>
      <c r="J897" s="22">
        <f>IF(OR(A897="",C897="",I897=""),"",I897*H897*C897/60)</f>
        <v/>
      </c>
    </row>
    <row r="898">
      <c r="A898" s="35" t="n"/>
      <c r="B898" s="33" t="n"/>
      <c r="C898" s="31" t="n"/>
      <c r="D898" s="30" t="n"/>
      <c r="E898" s="33" t="n"/>
      <c r="F898" s="20">
        <f>IF(A898="","",WEEKNUM(A898,21))</f>
        <v/>
      </c>
      <c r="G898" s="21">
        <f>IF(OR(C898="",N(D898)=0),"",C898/D898)</f>
        <v/>
      </c>
      <c r="H898" s="21">
        <f>IF(A898="","",IFERROR(INDEX(Weight!$B$2:$B$1000,MATCH(IF(_xlfn.MAXIFS(Weight!$A$2:$A$1000,Weight!$A$2:$A$1000,"&lt;="&amp;A898)&gt;0,_xlfn.MAXIFS(Weight!$A$2:$A$1000,Weight!$A$2:$A$1000,"&lt;="&amp;A898),_xlfn.MINIFS(Weight!$A$2:$A$1000,Weight!$A$2:$A$1000,"&gt;0")),Weight!$A$2:$A$1000,0)),Settings!$B$6))</f>
        <v/>
      </c>
      <c r="I898" s="21">
        <f>IF(B898="","",IFERROR(INDEX(Settings!$B$10:$B$21,MATCH(B898,Settings!$A$10:$A$21,0)),4))</f>
        <v/>
      </c>
      <c r="J898" s="22">
        <f>IF(OR(A898="",C898="",I898=""),"",I898*H898*C898/60)</f>
        <v/>
      </c>
    </row>
    <row r="899">
      <c r="A899" s="35" t="n"/>
      <c r="B899" s="33" t="n"/>
      <c r="C899" s="31" t="n"/>
      <c r="D899" s="30" t="n"/>
      <c r="E899" s="33" t="n"/>
      <c r="F899" s="20">
        <f>IF(A899="","",WEEKNUM(A899,21))</f>
        <v/>
      </c>
      <c r="G899" s="21">
        <f>IF(OR(C899="",N(D899)=0),"",C899/D899)</f>
        <v/>
      </c>
      <c r="H899" s="21">
        <f>IF(A899="","",IFERROR(INDEX(Weight!$B$2:$B$1000,MATCH(IF(_xlfn.MAXIFS(Weight!$A$2:$A$1000,Weight!$A$2:$A$1000,"&lt;="&amp;A899)&gt;0,_xlfn.MAXIFS(Weight!$A$2:$A$1000,Weight!$A$2:$A$1000,"&lt;="&amp;A899),_xlfn.MINIFS(Weight!$A$2:$A$1000,Weight!$A$2:$A$1000,"&gt;0")),Weight!$A$2:$A$1000,0)),Settings!$B$6))</f>
        <v/>
      </c>
      <c r="I899" s="21">
        <f>IF(B899="","",IFERROR(INDEX(Settings!$B$10:$B$21,MATCH(B899,Settings!$A$10:$A$21,0)),4))</f>
        <v/>
      </c>
      <c r="J899" s="22">
        <f>IF(OR(A899="",C899="",I899=""),"",I899*H899*C899/60)</f>
        <v/>
      </c>
    </row>
    <row r="900">
      <c r="A900" s="35" t="n"/>
      <c r="B900" s="33" t="n"/>
      <c r="C900" s="31" t="n"/>
      <c r="D900" s="30" t="n"/>
      <c r="E900" s="33" t="n"/>
      <c r="F900" s="20">
        <f>IF(A900="","",WEEKNUM(A900,21))</f>
        <v/>
      </c>
      <c r="G900" s="21">
        <f>IF(OR(C900="",N(D900)=0),"",C900/D900)</f>
        <v/>
      </c>
      <c r="H900" s="21">
        <f>IF(A900="","",IFERROR(INDEX(Weight!$B$2:$B$1000,MATCH(IF(_xlfn.MAXIFS(Weight!$A$2:$A$1000,Weight!$A$2:$A$1000,"&lt;="&amp;A900)&gt;0,_xlfn.MAXIFS(Weight!$A$2:$A$1000,Weight!$A$2:$A$1000,"&lt;="&amp;A900),_xlfn.MINIFS(Weight!$A$2:$A$1000,Weight!$A$2:$A$1000,"&gt;0")),Weight!$A$2:$A$1000,0)),Settings!$B$6))</f>
        <v/>
      </c>
      <c r="I900" s="21">
        <f>IF(B900="","",IFERROR(INDEX(Settings!$B$10:$B$21,MATCH(B900,Settings!$A$10:$A$21,0)),4))</f>
        <v/>
      </c>
      <c r="J900" s="22">
        <f>IF(OR(A900="",C900="",I900=""),"",I900*H900*C900/60)</f>
        <v/>
      </c>
    </row>
    <row r="901">
      <c r="A901" s="35" t="n"/>
      <c r="B901" s="33" t="n"/>
      <c r="C901" s="31" t="n"/>
      <c r="D901" s="30" t="n"/>
      <c r="E901" s="33" t="n"/>
      <c r="F901" s="20">
        <f>IF(A901="","",WEEKNUM(A901,21))</f>
        <v/>
      </c>
      <c r="G901" s="21">
        <f>IF(OR(C901="",N(D901)=0),"",C901/D901)</f>
        <v/>
      </c>
      <c r="H901" s="21">
        <f>IF(A901="","",IFERROR(INDEX(Weight!$B$2:$B$1000,MATCH(IF(_xlfn.MAXIFS(Weight!$A$2:$A$1000,Weight!$A$2:$A$1000,"&lt;="&amp;A901)&gt;0,_xlfn.MAXIFS(Weight!$A$2:$A$1000,Weight!$A$2:$A$1000,"&lt;="&amp;A901),_xlfn.MINIFS(Weight!$A$2:$A$1000,Weight!$A$2:$A$1000,"&gt;0")),Weight!$A$2:$A$1000,0)),Settings!$B$6))</f>
        <v/>
      </c>
      <c r="I901" s="21">
        <f>IF(B901="","",IFERROR(INDEX(Settings!$B$10:$B$21,MATCH(B901,Settings!$A$10:$A$21,0)),4))</f>
        <v/>
      </c>
      <c r="J901" s="22">
        <f>IF(OR(A901="",C901="",I901=""),"",I901*H901*C901/60)</f>
        <v/>
      </c>
    </row>
    <row r="902">
      <c r="A902" s="35" t="n"/>
      <c r="B902" s="33" t="n"/>
      <c r="C902" s="31" t="n"/>
      <c r="D902" s="30" t="n"/>
      <c r="E902" s="33" t="n"/>
      <c r="F902" s="20">
        <f>IF(A902="","",WEEKNUM(A902,21))</f>
        <v/>
      </c>
      <c r="G902" s="21">
        <f>IF(OR(C902="",N(D902)=0),"",C902/D902)</f>
        <v/>
      </c>
      <c r="H902" s="21">
        <f>IF(A902="","",IFERROR(INDEX(Weight!$B$2:$B$1000,MATCH(IF(_xlfn.MAXIFS(Weight!$A$2:$A$1000,Weight!$A$2:$A$1000,"&lt;="&amp;A902)&gt;0,_xlfn.MAXIFS(Weight!$A$2:$A$1000,Weight!$A$2:$A$1000,"&lt;="&amp;A902),_xlfn.MINIFS(Weight!$A$2:$A$1000,Weight!$A$2:$A$1000,"&gt;0")),Weight!$A$2:$A$1000,0)),Settings!$B$6))</f>
        <v/>
      </c>
      <c r="I902" s="21">
        <f>IF(B902="","",IFERROR(INDEX(Settings!$B$10:$B$21,MATCH(B902,Settings!$A$10:$A$21,0)),4))</f>
        <v/>
      </c>
      <c r="J902" s="22">
        <f>IF(OR(A902="",C902="",I902=""),"",I902*H902*C902/60)</f>
        <v/>
      </c>
    </row>
    <row r="903">
      <c r="A903" s="35" t="n"/>
      <c r="B903" s="33" t="n"/>
      <c r="C903" s="31" t="n"/>
      <c r="D903" s="30" t="n"/>
      <c r="E903" s="33" t="n"/>
      <c r="F903" s="20">
        <f>IF(A903="","",WEEKNUM(A903,21))</f>
        <v/>
      </c>
      <c r="G903" s="21">
        <f>IF(OR(C903="",N(D903)=0),"",C903/D903)</f>
        <v/>
      </c>
      <c r="H903" s="21">
        <f>IF(A903="","",IFERROR(INDEX(Weight!$B$2:$B$1000,MATCH(IF(_xlfn.MAXIFS(Weight!$A$2:$A$1000,Weight!$A$2:$A$1000,"&lt;="&amp;A903)&gt;0,_xlfn.MAXIFS(Weight!$A$2:$A$1000,Weight!$A$2:$A$1000,"&lt;="&amp;A903),_xlfn.MINIFS(Weight!$A$2:$A$1000,Weight!$A$2:$A$1000,"&gt;0")),Weight!$A$2:$A$1000,0)),Settings!$B$6))</f>
        <v/>
      </c>
      <c r="I903" s="21">
        <f>IF(B903="","",IFERROR(INDEX(Settings!$B$10:$B$21,MATCH(B903,Settings!$A$10:$A$21,0)),4))</f>
        <v/>
      </c>
      <c r="J903" s="22">
        <f>IF(OR(A903="",C903="",I903=""),"",I903*H903*C903/60)</f>
        <v/>
      </c>
    </row>
    <row r="904">
      <c r="A904" s="35" t="n"/>
      <c r="B904" s="33" t="n"/>
      <c r="C904" s="31" t="n"/>
      <c r="D904" s="30" t="n"/>
      <c r="E904" s="33" t="n"/>
      <c r="F904" s="20">
        <f>IF(A904="","",WEEKNUM(A904,21))</f>
        <v/>
      </c>
      <c r="G904" s="21">
        <f>IF(OR(C904="",N(D904)=0),"",C904/D904)</f>
        <v/>
      </c>
      <c r="H904" s="21">
        <f>IF(A904="","",IFERROR(INDEX(Weight!$B$2:$B$1000,MATCH(IF(_xlfn.MAXIFS(Weight!$A$2:$A$1000,Weight!$A$2:$A$1000,"&lt;="&amp;A904)&gt;0,_xlfn.MAXIFS(Weight!$A$2:$A$1000,Weight!$A$2:$A$1000,"&lt;="&amp;A904),_xlfn.MINIFS(Weight!$A$2:$A$1000,Weight!$A$2:$A$1000,"&gt;0")),Weight!$A$2:$A$1000,0)),Settings!$B$6))</f>
        <v/>
      </c>
      <c r="I904" s="21">
        <f>IF(B904="","",IFERROR(INDEX(Settings!$B$10:$B$21,MATCH(B904,Settings!$A$10:$A$21,0)),4))</f>
        <v/>
      </c>
      <c r="J904" s="22">
        <f>IF(OR(A904="",C904="",I904=""),"",I904*H904*C904/60)</f>
        <v/>
      </c>
    </row>
    <row r="905">
      <c r="A905" s="35" t="n"/>
      <c r="B905" s="33" t="n"/>
      <c r="C905" s="31" t="n"/>
      <c r="D905" s="30" t="n"/>
      <c r="E905" s="33" t="n"/>
      <c r="F905" s="20">
        <f>IF(A905="","",WEEKNUM(A905,21))</f>
        <v/>
      </c>
      <c r="G905" s="21">
        <f>IF(OR(C905="",N(D905)=0),"",C905/D905)</f>
        <v/>
      </c>
      <c r="H905" s="21">
        <f>IF(A905="","",IFERROR(INDEX(Weight!$B$2:$B$1000,MATCH(IF(_xlfn.MAXIFS(Weight!$A$2:$A$1000,Weight!$A$2:$A$1000,"&lt;="&amp;A905)&gt;0,_xlfn.MAXIFS(Weight!$A$2:$A$1000,Weight!$A$2:$A$1000,"&lt;="&amp;A905),_xlfn.MINIFS(Weight!$A$2:$A$1000,Weight!$A$2:$A$1000,"&gt;0")),Weight!$A$2:$A$1000,0)),Settings!$B$6))</f>
        <v/>
      </c>
      <c r="I905" s="21">
        <f>IF(B905="","",IFERROR(INDEX(Settings!$B$10:$B$21,MATCH(B905,Settings!$A$10:$A$21,0)),4))</f>
        <v/>
      </c>
      <c r="J905" s="22">
        <f>IF(OR(A905="",C905="",I905=""),"",I905*H905*C905/60)</f>
        <v/>
      </c>
    </row>
    <row r="906">
      <c r="A906" s="35" t="n"/>
      <c r="B906" s="33" t="n"/>
      <c r="C906" s="31" t="n"/>
      <c r="D906" s="30" t="n"/>
      <c r="E906" s="33" t="n"/>
      <c r="F906" s="20">
        <f>IF(A906="","",WEEKNUM(A906,21))</f>
        <v/>
      </c>
      <c r="G906" s="21">
        <f>IF(OR(C906="",N(D906)=0),"",C906/D906)</f>
        <v/>
      </c>
      <c r="H906" s="21">
        <f>IF(A906="","",IFERROR(INDEX(Weight!$B$2:$B$1000,MATCH(IF(_xlfn.MAXIFS(Weight!$A$2:$A$1000,Weight!$A$2:$A$1000,"&lt;="&amp;A906)&gt;0,_xlfn.MAXIFS(Weight!$A$2:$A$1000,Weight!$A$2:$A$1000,"&lt;="&amp;A906),_xlfn.MINIFS(Weight!$A$2:$A$1000,Weight!$A$2:$A$1000,"&gt;0")),Weight!$A$2:$A$1000,0)),Settings!$B$6))</f>
        <v/>
      </c>
      <c r="I906" s="21">
        <f>IF(B906="","",IFERROR(INDEX(Settings!$B$10:$B$21,MATCH(B906,Settings!$A$10:$A$21,0)),4))</f>
        <v/>
      </c>
      <c r="J906" s="22">
        <f>IF(OR(A906="",C906="",I906=""),"",I906*H906*C906/60)</f>
        <v/>
      </c>
    </row>
    <row r="907">
      <c r="A907" s="35" t="n"/>
      <c r="B907" s="33" t="n"/>
      <c r="C907" s="31" t="n"/>
      <c r="D907" s="30" t="n"/>
      <c r="E907" s="33" t="n"/>
      <c r="F907" s="20">
        <f>IF(A907="","",WEEKNUM(A907,21))</f>
        <v/>
      </c>
      <c r="G907" s="21">
        <f>IF(OR(C907="",N(D907)=0),"",C907/D907)</f>
        <v/>
      </c>
      <c r="H907" s="21">
        <f>IF(A907="","",IFERROR(INDEX(Weight!$B$2:$B$1000,MATCH(IF(_xlfn.MAXIFS(Weight!$A$2:$A$1000,Weight!$A$2:$A$1000,"&lt;="&amp;A907)&gt;0,_xlfn.MAXIFS(Weight!$A$2:$A$1000,Weight!$A$2:$A$1000,"&lt;="&amp;A907),_xlfn.MINIFS(Weight!$A$2:$A$1000,Weight!$A$2:$A$1000,"&gt;0")),Weight!$A$2:$A$1000,0)),Settings!$B$6))</f>
        <v/>
      </c>
      <c r="I907" s="21">
        <f>IF(B907="","",IFERROR(INDEX(Settings!$B$10:$B$21,MATCH(B907,Settings!$A$10:$A$21,0)),4))</f>
        <v/>
      </c>
      <c r="J907" s="22">
        <f>IF(OR(A907="",C907="",I907=""),"",I907*H907*C907/60)</f>
        <v/>
      </c>
    </row>
    <row r="908">
      <c r="A908" s="35" t="n"/>
      <c r="B908" s="33" t="n"/>
      <c r="C908" s="31" t="n"/>
      <c r="D908" s="30" t="n"/>
      <c r="E908" s="33" t="n"/>
      <c r="F908" s="20">
        <f>IF(A908="","",WEEKNUM(A908,21))</f>
        <v/>
      </c>
      <c r="G908" s="21">
        <f>IF(OR(C908="",N(D908)=0),"",C908/D908)</f>
        <v/>
      </c>
      <c r="H908" s="21">
        <f>IF(A908="","",IFERROR(INDEX(Weight!$B$2:$B$1000,MATCH(IF(_xlfn.MAXIFS(Weight!$A$2:$A$1000,Weight!$A$2:$A$1000,"&lt;="&amp;A908)&gt;0,_xlfn.MAXIFS(Weight!$A$2:$A$1000,Weight!$A$2:$A$1000,"&lt;="&amp;A908),_xlfn.MINIFS(Weight!$A$2:$A$1000,Weight!$A$2:$A$1000,"&gt;0")),Weight!$A$2:$A$1000,0)),Settings!$B$6))</f>
        <v/>
      </c>
      <c r="I908" s="21">
        <f>IF(B908="","",IFERROR(INDEX(Settings!$B$10:$B$21,MATCH(B908,Settings!$A$10:$A$21,0)),4))</f>
        <v/>
      </c>
      <c r="J908" s="22">
        <f>IF(OR(A908="",C908="",I908=""),"",I908*H908*C908/60)</f>
        <v/>
      </c>
    </row>
    <row r="909">
      <c r="A909" s="35" t="n"/>
      <c r="B909" s="33" t="n"/>
      <c r="C909" s="31" t="n"/>
      <c r="D909" s="30" t="n"/>
      <c r="E909" s="33" t="n"/>
      <c r="F909" s="20">
        <f>IF(A909="","",WEEKNUM(A909,21))</f>
        <v/>
      </c>
      <c r="G909" s="21">
        <f>IF(OR(C909="",N(D909)=0),"",C909/D909)</f>
        <v/>
      </c>
      <c r="H909" s="21">
        <f>IF(A909="","",IFERROR(INDEX(Weight!$B$2:$B$1000,MATCH(IF(_xlfn.MAXIFS(Weight!$A$2:$A$1000,Weight!$A$2:$A$1000,"&lt;="&amp;A909)&gt;0,_xlfn.MAXIFS(Weight!$A$2:$A$1000,Weight!$A$2:$A$1000,"&lt;="&amp;A909),_xlfn.MINIFS(Weight!$A$2:$A$1000,Weight!$A$2:$A$1000,"&gt;0")),Weight!$A$2:$A$1000,0)),Settings!$B$6))</f>
        <v/>
      </c>
      <c r="I909" s="21">
        <f>IF(B909="","",IFERROR(INDEX(Settings!$B$10:$B$21,MATCH(B909,Settings!$A$10:$A$21,0)),4))</f>
        <v/>
      </c>
      <c r="J909" s="22">
        <f>IF(OR(A909="",C909="",I909=""),"",I909*H909*C909/60)</f>
        <v/>
      </c>
    </row>
    <row r="910">
      <c r="A910" s="35" t="n"/>
      <c r="B910" s="33" t="n"/>
      <c r="C910" s="31" t="n"/>
      <c r="D910" s="30" t="n"/>
      <c r="E910" s="33" t="n"/>
      <c r="F910" s="20">
        <f>IF(A910="","",WEEKNUM(A910,21))</f>
        <v/>
      </c>
      <c r="G910" s="21">
        <f>IF(OR(C910="",N(D910)=0),"",C910/D910)</f>
        <v/>
      </c>
      <c r="H910" s="21">
        <f>IF(A910="","",IFERROR(INDEX(Weight!$B$2:$B$1000,MATCH(IF(_xlfn.MAXIFS(Weight!$A$2:$A$1000,Weight!$A$2:$A$1000,"&lt;="&amp;A910)&gt;0,_xlfn.MAXIFS(Weight!$A$2:$A$1000,Weight!$A$2:$A$1000,"&lt;="&amp;A910),_xlfn.MINIFS(Weight!$A$2:$A$1000,Weight!$A$2:$A$1000,"&gt;0")),Weight!$A$2:$A$1000,0)),Settings!$B$6))</f>
        <v/>
      </c>
      <c r="I910" s="21">
        <f>IF(B910="","",IFERROR(INDEX(Settings!$B$10:$B$21,MATCH(B910,Settings!$A$10:$A$21,0)),4))</f>
        <v/>
      </c>
      <c r="J910" s="22">
        <f>IF(OR(A910="",C910="",I910=""),"",I910*H910*C910/60)</f>
        <v/>
      </c>
    </row>
    <row r="911">
      <c r="A911" s="35" t="n"/>
      <c r="B911" s="33" t="n"/>
      <c r="C911" s="31" t="n"/>
      <c r="D911" s="30" t="n"/>
      <c r="E911" s="33" t="n"/>
      <c r="F911" s="20">
        <f>IF(A911="","",WEEKNUM(A911,21))</f>
        <v/>
      </c>
      <c r="G911" s="21">
        <f>IF(OR(C911="",N(D911)=0),"",C911/D911)</f>
        <v/>
      </c>
      <c r="H911" s="21">
        <f>IF(A911="","",IFERROR(INDEX(Weight!$B$2:$B$1000,MATCH(IF(_xlfn.MAXIFS(Weight!$A$2:$A$1000,Weight!$A$2:$A$1000,"&lt;="&amp;A911)&gt;0,_xlfn.MAXIFS(Weight!$A$2:$A$1000,Weight!$A$2:$A$1000,"&lt;="&amp;A911),_xlfn.MINIFS(Weight!$A$2:$A$1000,Weight!$A$2:$A$1000,"&gt;0")),Weight!$A$2:$A$1000,0)),Settings!$B$6))</f>
        <v/>
      </c>
      <c r="I911" s="21">
        <f>IF(B911="","",IFERROR(INDEX(Settings!$B$10:$B$21,MATCH(B911,Settings!$A$10:$A$21,0)),4))</f>
        <v/>
      </c>
      <c r="J911" s="22">
        <f>IF(OR(A911="",C911="",I911=""),"",I911*H911*C911/60)</f>
        <v/>
      </c>
    </row>
    <row r="912">
      <c r="A912" s="35" t="n"/>
      <c r="B912" s="33" t="n"/>
      <c r="C912" s="31" t="n"/>
      <c r="D912" s="30" t="n"/>
      <c r="E912" s="33" t="n"/>
      <c r="F912" s="20">
        <f>IF(A912="","",WEEKNUM(A912,21))</f>
        <v/>
      </c>
      <c r="G912" s="21">
        <f>IF(OR(C912="",N(D912)=0),"",C912/D912)</f>
        <v/>
      </c>
      <c r="H912" s="21">
        <f>IF(A912="","",IFERROR(INDEX(Weight!$B$2:$B$1000,MATCH(IF(_xlfn.MAXIFS(Weight!$A$2:$A$1000,Weight!$A$2:$A$1000,"&lt;="&amp;A912)&gt;0,_xlfn.MAXIFS(Weight!$A$2:$A$1000,Weight!$A$2:$A$1000,"&lt;="&amp;A912),_xlfn.MINIFS(Weight!$A$2:$A$1000,Weight!$A$2:$A$1000,"&gt;0")),Weight!$A$2:$A$1000,0)),Settings!$B$6))</f>
        <v/>
      </c>
      <c r="I912" s="21">
        <f>IF(B912="","",IFERROR(INDEX(Settings!$B$10:$B$21,MATCH(B912,Settings!$A$10:$A$21,0)),4))</f>
        <v/>
      </c>
      <c r="J912" s="22">
        <f>IF(OR(A912="",C912="",I912=""),"",I912*H912*C912/60)</f>
        <v/>
      </c>
    </row>
    <row r="913">
      <c r="A913" s="35" t="n"/>
      <c r="B913" s="33" t="n"/>
      <c r="C913" s="31" t="n"/>
      <c r="D913" s="30" t="n"/>
      <c r="E913" s="33" t="n"/>
      <c r="F913" s="20">
        <f>IF(A913="","",WEEKNUM(A913,21))</f>
        <v/>
      </c>
      <c r="G913" s="21">
        <f>IF(OR(C913="",N(D913)=0),"",C913/D913)</f>
        <v/>
      </c>
      <c r="H913" s="21">
        <f>IF(A913="","",IFERROR(INDEX(Weight!$B$2:$B$1000,MATCH(IF(_xlfn.MAXIFS(Weight!$A$2:$A$1000,Weight!$A$2:$A$1000,"&lt;="&amp;A913)&gt;0,_xlfn.MAXIFS(Weight!$A$2:$A$1000,Weight!$A$2:$A$1000,"&lt;="&amp;A913),_xlfn.MINIFS(Weight!$A$2:$A$1000,Weight!$A$2:$A$1000,"&gt;0")),Weight!$A$2:$A$1000,0)),Settings!$B$6))</f>
        <v/>
      </c>
      <c r="I913" s="21">
        <f>IF(B913="","",IFERROR(INDEX(Settings!$B$10:$B$21,MATCH(B913,Settings!$A$10:$A$21,0)),4))</f>
        <v/>
      </c>
      <c r="J913" s="22">
        <f>IF(OR(A913="",C913="",I913=""),"",I913*H913*C913/60)</f>
        <v/>
      </c>
    </row>
    <row r="914">
      <c r="A914" s="35" t="n"/>
      <c r="B914" s="33" t="n"/>
      <c r="C914" s="31" t="n"/>
      <c r="D914" s="30" t="n"/>
      <c r="E914" s="33" t="n"/>
      <c r="F914" s="20">
        <f>IF(A914="","",WEEKNUM(A914,21))</f>
        <v/>
      </c>
      <c r="G914" s="21">
        <f>IF(OR(C914="",N(D914)=0),"",C914/D914)</f>
        <v/>
      </c>
      <c r="H914" s="21">
        <f>IF(A914="","",IFERROR(INDEX(Weight!$B$2:$B$1000,MATCH(IF(_xlfn.MAXIFS(Weight!$A$2:$A$1000,Weight!$A$2:$A$1000,"&lt;="&amp;A914)&gt;0,_xlfn.MAXIFS(Weight!$A$2:$A$1000,Weight!$A$2:$A$1000,"&lt;="&amp;A914),_xlfn.MINIFS(Weight!$A$2:$A$1000,Weight!$A$2:$A$1000,"&gt;0")),Weight!$A$2:$A$1000,0)),Settings!$B$6))</f>
        <v/>
      </c>
      <c r="I914" s="21">
        <f>IF(B914="","",IFERROR(INDEX(Settings!$B$10:$B$21,MATCH(B914,Settings!$A$10:$A$21,0)),4))</f>
        <v/>
      </c>
      <c r="J914" s="22">
        <f>IF(OR(A914="",C914="",I914=""),"",I914*H914*C914/60)</f>
        <v/>
      </c>
    </row>
    <row r="915">
      <c r="A915" s="35" t="n"/>
      <c r="B915" s="33" t="n"/>
      <c r="C915" s="31" t="n"/>
      <c r="D915" s="30" t="n"/>
      <c r="E915" s="33" t="n"/>
      <c r="F915" s="20">
        <f>IF(A915="","",WEEKNUM(A915,21))</f>
        <v/>
      </c>
      <c r="G915" s="21">
        <f>IF(OR(C915="",N(D915)=0),"",C915/D915)</f>
        <v/>
      </c>
      <c r="H915" s="21">
        <f>IF(A915="","",IFERROR(INDEX(Weight!$B$2:$B$1000,MATCH(IF(_xlfn.MAXIFS(Weight!$A$2:$A$1000,Weight!$A$2:$A$1000,"&lt;="&amp;A915)&gt;0,_xlfn.MAXIFS(Weight!$A$2:$A$1000,Weight!$A$2:$A$1000,"&lt;="&amp;A915),_xlfn.MINIFS(Weight!$A$2:$A$1000,Weight!$A$2:$A$1000,"&gt;0")),Weight!$A$2:$A$1000,0)),Settings!$B$6))</f>
        <v/>
      </c>
      <c r="I915" s="21">
        <f>IF(B915="","",IFERROR(INDEX(Settings!$B$10:$B$21,MATCH(B915,Settings!$A$10:$A$21,0)),4))</f>
        <v/>
      </c>
      <c r="J915" s="22">
        <f>IF(OR(A915="",C915="",I915=""),"",I915*H915*C915/60)</f>
        <v/>
      </c>
    </row>
    <row r="916">
      <c r="A916" s="35" t="n"/>
      <c r="B916" s="33" t="n"/>
      <c r="C916" s="31" t="n"/>
      <c r="D916" s="30" t="n"/>
      <c r="E916" s="33" t="n"/>
      <c r="F916" s="20">
        <f>IF(A916="","",WEEKNUM(A916,21))</f>
        <v/>
      </c>
      <c r="G916" s="21">
        <f>IF(OR(C916="",N(D916)=0),"",C916/D916)</f>
        <v/>
      </c>
      <c r="H916" s="21">
        <f>IF(A916="","",IFERROR(INDEX(Weight!$B$2:$B$1000,MATCH(IF(_xlfn.MAXIFS(Weight!$A$2:$A$1000,Weight!$A$2:$A$1000,"&lt;="&amp;A916)&gt;0,_xlfn.MAXIFS(Weight!$A$2:$A$1000,Weight!$A$2:$A$1000,"&lt;="&amp;A916),_xlfn.MINIFS(Weight!$A$2:$A$1000,Weight!$A$2:$A$1000,"&gt;0")),Weight!$A$2:$A$1000,0)),Settings!$B$6))</f>
        <v/>
      </c>
      <c r="I916" s="21">
        <f>IF(B916="","",IFERROR(INDEX(Settings!$B$10:$B$21,MATCH(B916,Settings!$A$10:$A$21,0)),4))</f>
        <v/>
      </c>
      <c r="J916" s="22">
        <f>IF(OR(A916="",C916="",I916=""),"",I916*H916*C916/60)</f>
        <v/>
      </c>
    </row>
    <row r="917">
      <c r="A917" s="35" t="n"/>
      <c r="B917" s="33" t="n"/>
      <c r="C917" s="31" t="n"/>
      <c r="D917" s="30" t="n"/>
      <c r="E917" s="33" t="n"/>
      <c r="F917" s="20">
        <f>IF(A917="","",WEEKNUM(A917,21))</f>
        <v/>
      </c>
      <c r="G917" s="21">
        <f>IF(OR(C917="",N(D917)=0),"",C917/D917)</f>
        <v/>
      </c>
      <c r="H917" s="21">
        <f>IF(A917="","",IFERROR(INDEX(Weight!$B$2:$B$1000,MATCH(IF(_xlfn.MAXIFS(Weight!$A$2:$A$1000,Weight!$A$2:$A$1000,"&lt;="&amp;A917)&gt;0,_xlfn.MAXIFS(Weight!$A$2:$A$1000,Weight!$A$2:$A$1000,"&lt;="&amp;A917),_xlfn.MINIFS(Weight!$A$2:$A$1000,Weight!$A$2:$A$1000,"&gt;0")),Weight!$A$2:$A$1000,0)),Settings!$B$6))</f>
        <v/>
      </c>
      <c r="I917" s="21">
        <f>IF(B917="","",IFERROR(INDEX(Settings!$B$10:$B$21,MATCH(B917,Settings!$A$10:$A$21,0)),4))</f>
        <v/>
      </c>
      <c r="J917" s="22">
        <f>IF(OR(A917="",C917="",I917=""),"",I917*H917*C917/60)</f>
        <v/>
      </c>
    </row>
    <row r="918">
      <c r="A918" s="35" t="n"/>
      <c r="B918" s="33" t="n"/>
      <c r="C918" s="31" t="n"/>
      <c r="D918" s="30" t="n"/>
      <c r="E918" s="33" t="n"/>
      <c r="F918" s="20">
        <f>IF(A918="","",WEEKNUM(A918,21))</f>
        <v/>
      </c>
      <c r="G918" s="21">
        <f>IF(OR(C918="",N(D918)=0),"",C918/D918)</f>
        <v/>
      </c>
      <c r="H918" s="21">
        <f>IF(A918="","",IFERROR(INDEX(Weight!$B$2:$B$1000,MATCH(IF(_xlfn.MAXIFS(Weight!$A$2:$A$1000,Weight!$A$2:$A$1000,"&lt;="&amp;A918)&gt;0,_xlfn.MAXIFS(Weight!$A$2:$A$1000,Weight!$A$2:$A$1000,"&lt;="&amp;A918),_xlfn.MINIFS(Weight!$A$2:$A$1000,Weight!$A$2:$A$1000,"&gt;0")),Weight!$A$2:$A$1000,0)),Settings!$B$6))</f>
        <v/>
      </c>
      <c r="I918" s="21">
        <f>IF(B918="","",IFERROR(INDEX(Settings!$B$10:$B$21,MATCH(B918,Settings!$A$10:$A$21,0)),4))</f>
        <v/>
      </c>
      <c r="J918" s="22">
        <f>IF(OR(A918="",C918="",I918=""),"",I918*H918*C918/60)</f>
        <v/>
      </c>
    </row>
    <row r="919">
      <c r="A919" s="35" t="n"/>
      <c r="B919" s="33" t="n"/>
      <c r="C919" s="31" t="n"/>
      <c r="D919" s="30" t="n"/>
      <c r="E919" s="33" t="n"/>
      <c r="F919" s="20">
        <f>IF(A919="","",WEEKNUM(A919,21))</f>
        <v/>
      </c>
      <c r="G919" s="21">
        <f>IF(OR(C919="",N(D919)=0),"",C919/D919)</f>
        <v/>
      </c>
      <c r="H919" s="21">
        <f>IF(A919="","",IFERROR(INDEX(Weight!$B$2:$B$1000,MATCH(IF(_xlfn.MAXIFS(Weight!$A$2:$A$1000,Weight!$A$2:$A$1000,"&lt;="&amp;A919)&gt;0,_xlfn.MAXIFS(Weight!$A$2:$A$1000,Weight!$A$2:$A$1000,"&lt;="&amp;A919),_xlfn.MINIFS(Weight!$A$2:$A$1000,Weight!$A$2:$A$1000,"&gt;0")),Weight!$A$2:$A$1000,0)),Settings!$B$6))</f>
        <v/>
      </c>
      <c r="I919" s="21">
        <f>IF(B919="","",IFERROR(INDEX(Settings!$B$10:$B$21,MATCH(B919,Settings!$A$10:$A$21,0)),4))</f>
        <v/>
      </c>
      <c r="J919" s="22">
        <f>IF(OR(A919="",C919="",I919=""),"",I919*H919*C919/60)</f>
        <v/>
      </c>
    </row>
    <row r="920">
      <c r="A920" s="35" t="n"/>
      <c r="B920" s="33" t="n"/>
      <c r="C920" s="31" t="n"/>
      <c r="D920" s="30" t="n"/>
      <c r="E920" s="33" t="n"/>
      <c r="F920" s="20">
        <f>IF(A920="","",WEEKNUM(A920,21))</f>
        <v/>
      </c>
      <c r="G920" s="21">
        <f>IF(OR(C920="",N(D920)=0),"",C920/D920)</f>
        <v/>
      </c>
      <c r="H920" s="21">
        <f>IF(A920="","",IFERROR(INDEX(Weight!$B$2:$B$1000,MATCH(IF(_xlfn.MAXIFS(Weight!$A$2:$A$1000,Weight!$A$2:$A$1000,"&lt;="&amp;A920)&gt;0,_xlfn.MAXIFS(Weight!$A$2:$A$1000,Weight!$A$2:$A$1000,"&lt;="&amp;A920),_xlfn.MINIFS(Weight!$A$2:$A$1000,Weight!$A$2:$A$1000,"&gt;0")),Weight!$A$2:$A$1000,0)),Settings!$B$6))</f>
        <v/>
      </c>
      <c r="I920" s="21">
        <f>IF(B920="","",IFERROR(INDEX(Settings!$B$10:$B$21,MATCH(B920,Settings!$A$10:$A$21,0)),4))</f>
        <v/>
      </c>
      <c r="J920" s="22">
        <f>IF(OR(A920="",C920="",I920=""),"",I920*H920*C920/60)</f>
        <v/>
      </c>
    </row>
    <row r="921">
      <c r="A921" s="35" t="n"/>
      <c r="B921" s="33" t="n"/>
      <c r="C921" s="31" t="n"/>
      <c r="D921" s="30" t="n"/>
      <c r="E921" s="33" t="n"/>
      <c r="F921" s="20">
        <f>IF(A921="","",WEEKNUM(A921,21))</f>
        <v/>
      </c>
      <c r="G921" s="21">
        <f>IF(OR(C921="",N(D921)=0),"",C921/D921)</f>
        <v/>
      </c>
      <c r="H921" s="21">
        <f>IF(A921="","",IFERROR(INDEX(Weight!$B$2:$B$1000,MATCH(IF(_xlfn.MAXIFS(Weight!$A$2:$A$1000,Weight!$A$2:$A$1000,"&lt;="&amp;A921)&gt;0,_xlfn.MAXIFS(Weight!$A$2:$A$1000,Weight!$A$2:$A$1000,"&lt;="&amp;A921),_xlfn.MINIFS(Weight!$A$2:$A$1000,Weight!$A$2:$A$1000,"&gt;0")),Weight!$A$2:$A$1000,0)),Settings!$B$6))</f>
        <v/>
      </c>
      <c r="I921" s="21">
        <f>IF(B921="","",IFERROR(INDEX(Settings!$B$10:$B$21,MATCH(B921,Settings!$A$10:$A$21,0)),4))</f>
        <v/>
      </c>
      <c r="J921" s="22">
        <f>IF(OR(A921="",C921="",I921=""),"",I921*H921*C921/60)</f>
        <v/>
      </c>
    </row>
    <row r="922">
      <c r="A922" s="35" t="n"/>
      <c r="B922" s="33" t="n"/>
      <c r="C922" s="31" t="n"/>
      <c r="D922" s="30" t="n"/>
      <c r="E922" s="33" t="n"/>
      <c r="F922" s="20">
        <f>IF(A922="","",WEEKNUM(A922,21))</f>
        <v/>
      </c>
      <c r="G922" s="21">
        <f>IF(OR(C922="",N(D922)=0),"",C922/D922)</f>
        <v/>
      </c>
      <c r="H922" s="21">
        <f>IF(A922="","",IFERROR(INDEX(Weight!$B$2:$B$1000,MATCH(IF(_xlfn.MAXIFS(Weight!$A$2:$A$1000,Weight!$A$2:$A$1000,"&lt;="&amp;A922)&gt;0,_xlfn.MAXIFS(Weight!$A$2:$A$1000,Weight!$A$2:$A$1000,"&lt;="&amp;A922),_xlfn.MINIFS(Weight!$A$2:$A$1000,Weight!$A$2:$A$1000,"&gt;0")),Weight!$A$2:$A$1000,0)),Settings!$B$6))</f>
        <v/>
      </c>
      <c r="I922" s="21">
        <f>IF(B922="","",IFERROR(INDEX(Settings!$B$10:$B$21,MATCH(B922,Settings!$A$10:$A$21,0)),4))</f>
        <v/>
      </c>
      <c r="J922" s="22">
        <f>IF(OR(A922="",C922="",I922=""),"",I922*H922*C922/60)</f>
        <v/>
      </c>
    </row>
    <row r="923">
      <c r="A923" s="35" t="n"/>
      <c r="B923" s="33" t="n"/>
      <c r="C923" s="31" t="n"/>
      <c r="D923" s="30" t="n"/>
      <c r="E923" s="33" t="n"/>
      <c r="F923" s="20">
        <f>IF(A923="","",WEEKNUM(A923,21))</f>
        <v/>
      </c>
      <c r="G923" s="21">
        <f>IF(OR(C923="",N(D923)=0),"",C923/D923)</f>
        <v/>
      </c>
      <c r="H923" s="21">
        <f>IF(A923="","",IFERROR(INDEX(Weight!$B$2:$B$1000,MATCH(IF(_xlfn.MAXIFS(Weight!$A$2:$A$1000,Weight!$A$2:$A$1000,"&lt;="&amp;A923)&gt;0,_xlfn.MAXIFS(Weight!$A$2:$A$1000,Weight!$A$2:$A$1000,"&lt;="&amp;A923),_xlfn.MINIFS(Weight!$A$2:$A$1000,Weight!$A$2:$A$1000,"&gt;0")),Weight!$A$2:$A$1000,0)),Settings!$B$6))</f>
        <v/>
      </c>
      <c r="I923" s="21">
        <f>IF(B923="","",IFERROR(INDEX(Settings!$B$10:$B$21,MATCH(B923,Settings!$A$10:$A$21,0)),4))</f>
        <v/>
      </c>
      <c r="J923" s="22">
        <f>IF(OR(A923="",C923="",I923=""),"",I923*H923*C923/60)</f>
        <v/>
      </c>
    </row>
    <row r="924">
      <c r="A924" s="35" t="n"/>
      <c r="B924" s="33" t="n"/>
      <c r="C924" s="31" t="n"/>
      <c r="D924" s="30" t="n"/>
      <c r="E924" s="33" t="n"/>
      <c r="F924" s="20">
        <f>IF(A924="","",WEEKNUM(A924,21))</f>
        <v/>
      </c>
      <c r="G924" s="21">
        <f>IF(OR(C924="",N(D924)=0),"",C924/D924)</f>
        <v/>
      </c>
      <c r="H924" s="21">
        <f>IF(A924="","",IFERROR(INDEX(Weight!$B$2:$B$1000,MATCH(IF(_xlfn.MAXIFS(Weight!$A$2:$A$1000,Weight!$A$2:$A$1000,"&lt;="&amp;A924)&gt;0,_xlfn.MAXIFS(Weight!$A$2:$A$1000,Weight!$A$2:$A$1000,"&lt;="&amp;A924),_xlfn.MINIFS(Weight!$A$2:$A$1000,Weight!$A$2:$A$1000,"&gt;0")),Weight!$A$2:$A$1000,0)),Settings!$B$6))</f>
        <v/>
      </c>
      <c r="I924" s="21">
        <f>IF(B924="","",IFERROR(INDEX(Settings!$B$10:$B$21,MATCH(B924,Settings!$A$10:$A$21,0)),4))</f>
        <v/>
      </c>
      <c r="J924" s="22">
        <f>IF(OR(A924="",C924="",I924=""),"",I924*H924*C924/60)</f>
        <v/>
      </c>
    </row>
    <row r="925">
      <c r="A925" s="35" t="n"/>
      <c r="B925" s="33" t="n"/>
      <c r="C925" s="31" t="n"/>
      <c r="D925" s="30" t="n"/>
      <c r="E925" s="33" t="n"/>
      <c r="F925" s="20">
        <f>IF(A925="","",WEEKNUM(A925,21))</f>
        <v/>
      </c>
      <c r="G925" s="21">
        <f>IF(OR(C925="",N(D925)=0),"",C925/D925)</f>
        <v/>
      </c>
      <c r="H925" s="21">
        <f>IF(A925="","",IFERROR(INDEX(Weight!$B$2:$B$1000,MATCH(IF(_xlfn.MAXIFS(Weight!$A$2:$A$1000,Weight!$A$2:$A$1000,"&lt;="&amp;A925)&gt;0,_xlfn.MAXIFS(Weight!$A$2:$A$1000,Weight!$A$2:$A$1000,"&lt;="&amp;A925),_xlfn.MINIFS(Weight!$A$2:$A$1000,Weight!$A$2:$A$1000,"&gt;0")),Weight!$A$2:$A$1000,0)),Settings!$B$6))</f>
        <v/>
      </c>
      <c r="I925" s="21">
        <f>IF(B925="","",IFERROR(INDEX(Settings!$B$10:$B$21,MATCH(B925,Settings!$A$10:$A$21,0)),4))</f>
        <v/>
      </c>
      <c r="J925" s="22">
        <f>IF(OR(A925="",C925="",I925=""),"",I925*H925*C925/60)</f>
        <v/>
      </c>
    </row>
    <row r="926">
      <c r="A926" s="35" t="n"/>
      <c r="B926" s="33" t="n"/>
      <c r="C926" s="31" t="n"/>
      <c r="D926" s="30" t="n"/>
      <c r="E926" s="33" t="n"/>
      <c r="F926" s="20">
        <f>IF(A926="","",WEEKNUM(A926,21))</f>
        <v/>
      </c>
      <c r="G926" s="21">
        <f>IF(OR(C926="",N(D926)=0),"",C926/D926)</f>
        <v/>
      </c>
      <c r="H926" s="21">
        <f>IF(A926="","",IFERROR(INDEX(Weight!$B$2:$B$1000,MATCH(IF(_xlfn.MAXIFS(Weight!$A$2:$A$1000,Weight!$A$2:$A$1000,"&lt;="&amp;A926)&gt;0,_xlfn.MAXIFS(Weight!$A$2:$A$1000,Weight!$A$2:$A$1000,"&lt;="&amp;A926),_xlfn.MINIFS(Weight!$A$2:$A$1000,Weight!$A$2:$A$1000,"&gt;0")),Weight!$A$2:$A$1000,0)),Settings!$B$6))</f>
        <v/>
      </c>
      <c r="I926" s="21">
        <f>IF(B926="","",IFERROR(INDEX(Settings!$B$10:$B$21,MATCH(B926,Settings!$A$10:$A$21,0)),4))</f>
        <v/>
      </c>
      <c r="J926" s="22">
        <f>IF(OR(A926="",C926="",I926=""),"",I926*H926*C926/60)</f>
        <v/>
      </c>
    </row>
    <row r="927">
      <c r="A927" s="35" t="n"/>
      <c r="B927" s="33" t="n"/>
      <c r="C927" s="31" t="n"/>
      <c r="D927" s="30" t="n"/>
      <c r="E927" s="33" t="n"/>
      <c r="F927" s="20">
        <f>IF(A927="","",WEEKNUM(A927,21))</f>
        <v/>
      </c>
      <c r="G927" s="21">
        <f>IF(OR(C927="",N(D927)=0),"",C927/D927)</f>
        <v/>
      </c>
      <c r="H927" s="21">
        <f>IF(A927="","",IFERROR(INDEX(Weight!$B$2:$B$1000,MATCH(IF(_xlfn.MAXIFS(Weight!$A$2:$A$1000,Weight!$A$2:$A$1000,"&lt;="&amp;A927)&gt;0,_xlfn.MAXIFS(Weight!$A$2:$A$1000,Weight!$A$2:$A$1000,"&lt;="&amp;A927),_xlfn.MINIFS(Weight!$A$2:$A$1000,Weight!$A$2:$A$1000,"&gt;0")),Weight!$A$2:$A$1000,0)),Settings!$B$6))</f>
        <v/>
      </c>
      <c r="I927" s="21">
        <f>IF(B927="","",IFERROR(INDEX(Settings!$B$10:$B$21,MATCH(B927,Settings!$A$10:$A$21,0)),4))</f>
        <v/>
      </c>
      <c r="J927" s="22">
        <f>IF(OR(A927="",C927="",I927=""),"",I927*H927*C927/60)</f>
        <v/>
      </c>
    </row>
    <row r="928">
      <c r="A928" s="35" t="n"/>
      <c r="B928" s="33" t="n"/>
      <c r="C928" s="31" t="n"/>
      <c r="D928" s="30" t="n"/>
      <c r="E928" s="33" t="n"/>
      <c r="F928" s="20">
        <f>IF(A928="","",WEEKNUM(A928,21))</f>
        <v/>
      </c>
      <c r="G928" s="21">
        <f>IF(OR(C928="",N(D928)=0),"",C928/D928)</f>
        <v/>
      </c>
      <c r="H928" s="21">
        <f>IF(A928="","",IFERROR(INDEX(Weight!$B$2:$B$1000,MATCH(IF(_xlfn.MAXIFS(Weight!$A$2:$A$1000,Weight!$A$2:$A$1000,"&lt;="&amp;A928)&gt;0,_xlfn.MAXIFS(Weight!$A$2:$A$1000,Weight!$A$2:$A$1000,"&lt;="&amp;A928),_xlfn.MINIFS(Weight!$A$2:$A$1000,Weight!$A$2:$A$1000,"&gt;0")),Weight!$A$2:$A$1000,0)),Settings!$B$6))</f>
        <v/>
      </c>
      <c r="I928" s="21">
        <f>IF(B928="","",IFERROR(INDEX(Settings!$B$10:$B$21,MATCH(B928,Settings!$A$10:$A$21,0)),4))</f>
        <v/>
      </c>
      <c r="J928" s="22">
        <f>IF(OR(A928="",C928="",I928=""),"",I928*H928*C928/60)</f>
        <v/>
      </c>
    </row>
    <row r="929">
      <c r="A929" s="35" t="n"/>
      <c r="B929" s="33" t="n"/>
      <c r="C929" s="31" t="n"/>
      <c r="D929" s="30" t="n"/>
      <c r="E929" s="33" t="n"/>
      <c r="F929" s="20">
        <f>IF(A929="","",WEEKNUM(A929,21))</f>
        <v/>
      </c>
      <c r="G929" s="21">
        <f>IF(OR(C929="",N(D929)=0),"",C929/D929)</f>
        <v/>
      </c>
      <c r="H929" s="21">
        <f>IF(A929="","",IFERROR(INDEX(Weight!$B$2:$B$1000,MATCH(IF(_xlfn.MAXIFS(Weight!$A$2:$A$1000,Weight!$A$2:$A$1000,"&lt;="&amp;A929)&gt;0,_xlfn.MAXIFS(Weight!$A$2:$A$1000,Weight!$A$2:$A$1000,"&lt;="&amp;A929),_xlfn.MINIFS(Weight!$A$2:$A$1000,Weight!$A$2:$A$1000,"&gt;0")),Weight!$A$2:$A$1000,0)),Settings!$B$6))</f>
        <v/>
      </c>
      <c r="I929" s="21">
        <f>IF(B929="","",IFERROR(INDEX(Settings!$B$10:$B$21,MATCH(B929,Settings!$A$10:$A$21,0)),4))</f>
        <v/>
      </c>
      <c r="J929" s="22">
        <f>IF(OR(A929="",C929="",I929=""),"",I929*H929*C929/60)</f>
        <v/>
      </c>
    </row>
    <row r="930">
      <c r="A930" s="35" t="n"/>
      <c r="B930" s="33" t="n"/>
      <c r="C930" s="31" t="n"/>
      <c r="D930" s="30" t="n"/>
      <c r="E930" s="33" t="n"/>
      <c r="F930" s="20">
        <f>IF(A930="","",WEEKNUM(A930,21))</f>
        <v/>
      </c>
      <c r="G930" s="21">
        <f>IF(OR(C930="",N(D930)=0),"",C930/D930)</f>
        <v/>
      </c>
      <c r="H930" s="21">
        <f>IF(A930="","",IFERROR(INDEX(Weight!$B$2:$B$1000,MATCH(IF(_xlfn.MAXIFS(Weight!$A$2:$A$1000,Weight!$A$2:$A$1000,"&lt;="&amp;A930)&gt;0,_xlfn.MAXIFS(Weight!$A$2:$A$1000,Weight!$A$2:$A$1000,"&lt;="&amp;A930),_xlfn.MINIFS(Weight!$A$2:$A$1000,Weight!$A$2:$A$1000,"&gt;0")),Weight!$A$2:$A$1000,0)),Settings!$B$6))</f>
        <v/>
      </c>
      <c r="I930" s="21">
        <f>IF(B930="","",IFERROR(INDEX(Settings!$B$10:$B$21,MATCH(B930,Settings!$A$10:$A$21,0)),4))</f>
        <v/>
      </c>
      <c r="J930" s="22">
        <f>IF(OR(A930="",C930="",I930=""),"",I930*H930*C930/60)</f>
        <v/>
      </c>
    </row>
    <row r="931">
      <c r="A931" s="35" t="n"/>
      <c r="B931" s="33" t="n"/>
      <c r="C931" s="31" t="n"/>
      <c r="D931" s="30" t="n"/>
      <c r="E931" s="33" t="n"/>
      <c r="F931" s="20">
        <f>IF(A931="","",WEEKNUM(A931,21))</f>
        <v/>
      </c>
      <c r="G931" s="21">
        <f>IF(OR(C931="",N(D931)=0),"",C931/D931)</f>
        <v/>
      </c>
      <c r="H931" s="21">
        <f>IF(A931="","",IFERROR(INDEX(Weight!$B$2:$B$1000,MATCH(IF(_xlfn.MAXIFS(Weight!$A$2:$A$1000,Weight!$A$2:$A$1000,"&lt;="&amp;A931)&gt;0,_xlfn.MAXIFS(Weight!$A$2:$A$1000,Weight!$A$2:$A$1000,"&lt;="&amp;A931),_xlfn.MINIFS(Weight!$A$2:$A$1000,Weight!$A$2:$A$1000,"&gt;0")),Weight!$A$2:$A$1000,0)),Settings!$B$6))</f>
        <v/>
      </c>
      <c r="I931" s="21">
        <f>IF(B931="","",IFERROR(INDEX(Settings!$B$10:$B$21,MATCH(B931,Settings!$A$10:$A$21,0)),4))</f>
        <v/>
      </c>
      <c r="J931" s="22">
        <f>IF(OR(A931="",C931="",I931=""),"",I931*H931*C931/60)</f>
        <v/>
      </c>
    </row>
    <row r="932">
      <c r="A932" s="35" t="n"/>
      <c r="B932" s="33" t="n"/>
      <c r="C932" s="31" t="n"/>
      <c r="D932" s="30" t="n"/>
      <c r="E932" s="33" t="n"/>
      <c r="F932" s="20">
        <f>IF(A932="","",WEEKNUM(A932,21))</f>
        <v/>
      </c>
      <c r="G932" s="21">
        <f>IF(OR(C932="",N(D932)=0),"",C932/D932)</f>
        <v/>
      </c>
      <c r="H932" s="21">
        <f>IF(A932="","",IFERROR(INDEX(Weight!$B$2:$B$1000,MATCH(IF(_xlfn.MAXIFS(Weight!$A$2:$A$1000,Weight!$A$2:$A$1000,"&lt;="&amp;A932)&gt;0,_xlfn.MAXIFS(Weight!$A$2:$A$1000,Weight!$A$2:$A$1000,"&lt;="&amp;A932),_xlfn.MINIFS(Weight!$A$2:$A$1000,Weight!$A$2:$A$1000,"&gt;0")),Weight!$A$2:$A$1000,0)),Settings!$B$6))</f>
        <v/>
      </c>
      <c r="I932" s="21">
        <f>IF(B932="","",IFERROR(INDEX(Settings!$B$10:$B$21,MATCH(B932,Settings!$A$10:$A$21,0)),4))</f>
        <v/>
      </c>
      <c r="J932" s="22">
        <f>IF(OR(A932="",C932="",I932=""),"",I932*H932*C932/60)</f>
        <v/>
      </c>
    </row>
    <row r="933">
      <c r="A933" s="35" t="n"/>
      <c r="B933" s="33" t="n"/>
      <c r="C933" s="31" t="n"/>
      <c r="D933" s="30" t="n"/>
      <c r="E933" s="33" t="n"/>
      <c r="F933" s="20">
        <f>IF(A933="","",WEEKNUM(A933,21))</f>
        <v/>
      </c>
      <c r="G933" s="21">
        <f>IF(OR(C933="",N(D933)=0),"",C933/D933)</f>
        <v/>
      </c>
      <c r="H933" s="21">
        <f>IF(A933="","",IFERROR(INDEX(Weight!$B$2:$B$1000,MATCH(IF(_xlfn.MAXIFS(Weight!$A$2:$A$1000,Weight!$A$2:$A$1000,"&lt;="&amp;A933)&gt;0,_xlfn.MAXIFS(Weight!$A$2:$A$1000,Weight!$A$2:$A$1000,"&lt;="&amp;A933),_xlfn.MINIFS(Weight!$A$2:$A$1000,Weight!$A$2:$A$1000,"&gt;0")),Weight!$A$2:$A$1000,0)),Settings!$B$6))</f>
        <v/>
      </c>
      <c r="I933" s="21">
        <f>IF(B933="","",IFERROR(INDEX(Settings!$B$10:$B$21,MATCH(B933,Settings!$A$10:$A$21,0)),4))</f>
        <v/>
      </c>
      <c r="J933" s="22">
        <f>IF(OR(A933="",C933="",I933=""),"",I933*H933*C933/60)</f>
        <v/>
      </c>
    </row>
    <row r="934">
      <c r="A934" s="35" t="n"/>
      <c r="B934" s="33" t="n"/>
      <c r="C934" s="31" t="n"/>
      <c r="D934" s="30" t="n"/>
      <c r="E934" s="33" t="n"/>
      <c r="F934" s="20">
        <f>IF(A934="","",WEEKNUM(A934,21))</f>
        <v/>
      </c>
      <c r="G934" s="21">
        <f>IF(OR(C934="",N(D934)=0),"",C934/D934)</f>
        <v/>
      </c>
      <c r="H934" s="21">
        <f>IF(A934="","",IFERROR(INDEX(Weight!$B$2:$B$1000,MATCH(IF(_xlfn.MAXIFS(Weight!$A$2:$A$1000,Weight!$A$2:$A$1000,"&lt;="&amp;A934)&gt;0,_xlfn.MAXIFS(Weight!$A$2:$A$1000,Weight!$A$2:$A$1000,"&lt;="&amp;A934),_xlfn.MINIFS(Weight!$A$2:$A$1000,Weight!$A$2:$A$1000,"&gt;0")),Weight!$A$2:$A$1000,0)),Settings!$B$6))</f>
        <v/>
      </c>
      <c r="I934" s="21">
        <f>IF(B934="","",IFERROR(INDEX(Settings!$B$10:$B$21,MATCH(B934,Settings!$A$10:$A$21,0)),4))</f>
        <v/>
      </c>
      <c r="J934" s="22">
        <f>IF(OR(A934="",C934="",I934=""),"",I934*H934*C934/60)</f>
        <v/>
      </c>
    </row>
    <row r="935">
      <c r="A935" s="35" t="n"/>
      <c r="B935" s="33" t="n"/>
      <c r="C935" s="31" t="n"/>
      <c r="D935" s="30" t="n"/>
      <c r="E935" s="33" t="n"/>
      <c r="F935" s="20">
        <f>IF(A935="","",WEEKNUM(A935,21))</f>
        <v/>
      </c>
      <c r="G935" s="21">
        <f>IF(OR(C935="",N(D935)=0),"",C935/D935)</f>
        <v/>
      </c>
      <c r="H935" s="21">
        <f>IF(A935="","",IFERROR(INDEX(Weight!$B$2:$B$1000,MATCH(IF(_xlfn.MAXIFS(Weight!$A$2:$A$1000,Weight!$A$2:$A$1000,"&lt;="&amp;A935)&gt;0,_xlfn.MAXIFS(Weight!$A$2:$A$1000,Weight!$A$2:$A$1000,"&lt;="&amp;A935),_xlfn.MINIFS(Weight!$A$2:$A$1000,Weight!$A$2:$A$1000,"&gt;0")),Weight!$A$2:$A$1000,0)),Settings!$B$6))</f>
        <v/>
      </c>
      <c r="I935" s="21">
        <f>IF(B935="","",IFERROR(INDEX(Settings!$B$10:$B$21,MATCH(B935,Settings!$A$10:$A$21,0)),4))</f>
        <v/>
      </c>
      <c r="J935" s="22">
        <f>IF(OR(A935="",C935="",I935=""),"",I935*H935*C935/60)</f>
        <v/>
      </c>
    </row>
    <row r="936">
      <c r="A936" s="35" t="n"/>
      <c r="B936" s="33" t="n"/>
      <c r="C936" s="31" t="n"/>
      <c r="D936" s="30" t="n"/>
      <c r="E936" s="33" t="n"/>
      <c r="F936" s="20">
        <f>IF(A936="","",WEEKNUM(A936,21))</f>
        <v/>
      </c>
      <c r="G936" s="21">
        <f>IF(OR(C936="",N(D936)=0),"",C936/D936)</f>
        <v/>
      </c>
      <c r="H936" s="21">
        <f>IF(A936="","",IFERROR(INDEX(Weight!$B$2:$B$1000,MATCH(IF(_xlfn.MAXIFS(Weight!$A$2:$A$1000,Weight!$A$2:$A$1000,"&lt;="&amp;A936)&gt;0,_xlfn.MAXIFS(Weight!$A$2:$A$1000,Weight!$A$2:$A$1000,"&lt;="&amp;A936),_xlfn.MINIFS(Weight!$A$2:$A$1000,Weight!$A$2:$A$1000,"&gt;0")),Weight!$A$2:$A$1000,0)),Settings!$B$6))</f>
        <v/>
      </c>
      <c r="I936" s="21">
        <f>IF(B936="","",IFERROR(INDEX(Settings!$B$10:$B$21,MATCH(B936,Settings!$A$10:$A$21,0)),4))</f>
        <v/>
      </c>
      <c r="J936" s="22">
        <f>IF(OR(A936="",C936="",I936=""),"",I936*H936*C936/60)</f>
        <v/>
      </c>
    </row>
    <row r="937">
      <c r="A937" s="35" t="n"/>
      <c r="B937" s="33" t="n"/>
      <c r="C937" s="31" t="n"/>
      <c r="D937" s="30" t="n"/>
      <c r="E937" s="33" t="n"/>
      <c r="F937" s="20">
        <f>IF(A937="","",WEEKNUM(A937,21))</f>
        <v/>
      </c>
      <c r="G937" s="21">
        <f>IF(OR(C937="",N(D937)=0),"",C937/D937)</f>
        <v/>
      </c>
      <c r="H937" s="21">
        <f>IF(A937="","",IFERROR(INDEX(Weight!$B$2:$B$1000,MATCH(IF(_xlfn.MAXIFS(Weight!$A$2:$A$1000,Weight!$A$2:$A$1000,"&lt;="&amp;A937)&gt;0,_xlfn.MAXIFS(Weight!$A$2:$A$1000,Weight!$A$2:$A$1000,"&lt;="&amp;A937),_xlfn.MINIFS(Weight!$A$2:$A$1000,Weight!$A$2:$A$1000,"&gt;0")),Weight!$A$2:$A$1000,0)),Settings!$B$6))</f>
        <v/>
      </c>
      <c r="I937" s="21">
        <f>IF(B937="","",IFERROR(INDEX(Settings!$B$10:$B$21,MATCH(B937,Settings!$A$10:$A$21,0)),4))</f>
        <v/>
      </c>
      <c r="J937" s="22">
        <f>IF(OR(A937="",C937="",I937=""),"",I937*H937*C937/60)</f>
        <v/>
      </c>
    </row>
    <row r="938">
      <c r="A938" s="35" t="n"/>
      <c r="B938" s="33" t="n"/>
      <c r="C938" s="31" t="n"/>
      <c r="D938" s="30" t="n"/>
      <c r="E938" s="33" t="n"/>
      <c r="F938" s="20">
        <f>IF(A938="","",WEEKNUM(A938,21))</f>
        <v/>
      </c>
      <c r="G938" s="21">
        <f>IF(OR(C938="",N(D938)=0),"",C938/D938)</f>
        <v/>
      </c>
      <c r="H938" s="21">
        <f>IF(A938="","",IFERROR(INDEX(Weight!$B$2:$B$1000,MATCH(IF(_xlfn.MAXIFS(Weight!$A$2:$A$1000,Weight!$A$2:$A$1000,"&lt;="&amp;A938)&gt;0,_xlfn.MAXIFS(Weight!$A$2:$A$1000,Weight!$A$2:$A$1000,"&lt;="&amp;A938),_xlfn.MINIFS(Weight!$A$2:$A$1000,Weight!$A$2:$A$1000,"&gt;0")),Weight!$A$2:$A$1000,0)),Settings!$B$6))</f>
        <v/>
      </c>
      <c r="I938" s="21">
        <f>IF(B938="","",IFERROR(INDEX(Settings!$B$10:$B$21,MATCH(B938,Settings!$A$10:$A$21,0)),4))</f>
        <v/>
      </c>
      <c r="J938" s="22">
        <f>IF(OR(A938="",C938="",I938=""),"",I938*H938*C938/60)</f>
        <v/>
      </c>
    </row>
    <row r="939">
      <c r="A939" s="35" t="n"/>
      <c r="B939" s="33" t="n"/>
      <c r="C939" s="31" t="n"/>
      <c r="D939" s="30" t="n"/>
      <c r="E939" s="33" t="n"/>
      <c r="F939" s="20">
        <f>IF(A939="","",WEEKNUM(A939,21))</f>
        <v/>
      </c>
      <c r="G939" s="21">
        <f>IF(OR(C939="",N(D939)=0),"",C939/D939)</f>
        <v/>
      </c>
      <c r="H939" s="21">
        <f>IF(A939="","",IFERROR(INDEX(Weight!$B$2:$B$1000,MATCH(IF(_xlfn.MAXIFS(Weight!$A$2:$A$1000,Weight!$A$2:$A$1000,"&lt;="&amp;A939)&gt;0,_xlfn.MAXIFS(Weight!$A$2:$A$1000,Weight!$A$2:$A$1000,"&lt;="&amp;A939),_xlfn.MINIFS(Weight!$A$2:$A$1000,Weight!$A$2:$A$1000,"&gt;0")),Weight!$A$2:$A$1000,0)),Settings!$B$6))</f>
        <v/>
      </c>
      <c r="I939" s="21">
        <f>IF(B939="","",IFERROR(INDEX(Settings!$B$10:$B$21,MATCH(B939,Settings!$A$10:$A$21,0)),4))</f>
        <v/>
      </c>
      <c r="J939" s="22">
        <f>IF(OR(A939="",C939="",I939=""),"",I939*H939*C939/60)</f>
        <v/>
      </c>
    </row>
    <row r="940">
      <c r="A940" s="35" t="n"/>
      <c r="B940" s="33" t="n"/>
      <c r="C940" s="31" t="n"/>
      <c r="D940" s="30" t="n"/>
      <c r="E940" s="33" t="n"/>
      <c r="F940" s="20">
        <f>IF(A940="","",WEEKNUM(A940,21))</f>
        <v/>
      </c>
      <c r="G940" s="21">
        <f>IF(OR(C940="",N(D940)=0),"",C940/D940)</f>
        <v/>
      </c>
      <c r="H940" s="21">
        <f>IF(A940="","",IFERROR(INDEX(Weight!$B$2:$B$1000,MATCH(IF(_xlfn.MAXIFS(Weight!$A$2:$A$1000,Weight!$A$2:$A$1000,"&lt;="&amp;A940)&gt;0,_xlfn.MAXIFS(Weight!$A$2:$A$1000,Weight!$A$2:$A$1000,"&lt;="&amp;A940),_xlfn.MINIFS(Weight!$A$2:$A$1000,Weight!$A$2:$A$1000,"&gt;0")),Weight!$A$2:$A$1000,0)),Settings!$B$6))</f>
        <v/>
      </c>
      <c r="I940" s="21">
        <f>IF(B940="","",IFERROR(INDEX(Settings!$B$10:$B$21,MATCH(B940,Settings!$A$10:$A$21,0)),4))</f>
        <v/>
      </c>
      <c r="J940" s="22">
        <f>IF(OR(A940="",C940="",I940=""),"",I940*H940*C940/60)</f>
        <v/>
      </c>
    </row>
    <row r="941">
      <c r="A941" s="35" t="n"/>
      <c r="B941" s="33" t="n"/>
      <c r="C941" s="31" t="n"/>
      <c r="D941" s="30" t="n"/>
      <c r="E941" s="33" t="n"/>
      <c r="F941" s="20">
        <f>IF(A941="","",WEEKNUM(A941,21))</f>
        <v/>
      </c>
      <c r="G941" s="21">
        <f>IF(OR(C941="",N(D941)=0),"",C941/D941)</f>
        <v/>
      </c>
      <c r="H941" s="21">
        <f>IF(A941="","",IFERROR(INDEX(Weight!$B$2:$B$1000,MATCH(IF(_xlfn.MAXIFS(Weight!$A$2:$A$1000,Weight!$A$2:$A$1000,"&lt;="&amp;A941)&gt;0,_xlfn.MAXIFS(Weight!$A$2:$A$1000,Weight!$A$2:$A$1000,"&lt;="&amp;A941),_xlfn.MINIFS(Weight!$A$2:$A$1000,Weight!$A$2:$A$1000,"&gt;0")),Weight!$A$2:$A$1000,0)),Settings!$B$6))</f>
        <v/>
      </c>
      <c r="I941" s="21">
        <f>IF(B941="","",IFERROR(INDEX(Settings!$B$10:$B$21,MATCH(B941,Settings!$A$10:$A$21,0)),4))</f>
        <v/>
      </c>
      <c r="J941" s="22">
        <f>IF(OR(A941="",C941="",I941=""),"",I941*H941*C941/60)</f>
        <v/>
      </c>
    </row>
    <row r="942">
      <c r="A942" s="35" t="n"/>
      <c r="B942" s="33" t="n"/>
      <c r="C942" s="31" t="n"/>
      <c r="D942" s="30" t="n"/>
      <c r="E942" s="33" t="n"/>
      <c r="F942" s="20">
        <f>IF(A942="","",WEEKNUM(A942,21))</f>
        <v/>
      </c>
      <c r="G942" s="21">
        <f>IF(OR(C942="",N(D942)=0),"",C942/D942)</f>
        <v/>
      </c>
      <c r="H942" s="21">
        <f>IF(A942="","",IFERROR(INDEX(Weight!$B$2:$B$1000,MATCH(IF(_xlfn.MAXIFS(Weight!$A$2:$A$1000,Weight!$A$2:$A$1000,"&lt;="&amp;A942)&gt;0,_xlfn.MAXIFS(Weight!$A$2:$A$1000,Weight!$A$2:$A$1000,"&lt;="&amp;A942),_xlfn.MINIFS(Weight!$A$2:$A$1000,Weight!$A$2:$A$1000,"&gt;0")),Weight!$A$2:$A$1000,0)),Settings!$B$6))</f>
        <v/>
      </c>
      <c r="I942" s="21">
        <f>IF(B942="","",IFERROR(INDEX(Settings!$B$10:$B$21,MATCH(B942,Settings!$A$10:$A$21,0)),4))</f>
        <v/>
      </c>
      <c r="J942" s="22">
        <f>IF(OR(A942="",C942="",I942=""),"",I942*H942*C942/60)</f>
        <v/>
      </c>
    </row>
    <row r="943">
      <c r="A943" s="35" t="n"/>
      <c r="B943" s="33" t="n"/>
      <c r="C943" s="31" t="n"/>
      <c r="D943" s="30" t="n"/>
      <c r="E943" s="33" t="n"/>
      <c r="F943" s="20">
        <f>IF(A943="","",WEEKNUM(A943,21))</f>
        <v/>
      </c>
      <c r="G943" s="21">
        <f>IF(OR(C943="",N(D943)=0),"",C943/D943)</f>
        <v/>
      </c>
      <c r="H943" s="21">
        <f>IF(A943="","",IFERROR(INDEX(Weight!$B$2:$B$1000,MATCH(IF(_xlfn.MAXIFS(Weight!$A$2:$A$1000,Weight!$A$2:$A$1000,"&lt;="&amp;A943)&gt;0,_xlfn.MAXIFS(Weight!$A$2:$A$1000,Weight!$A$2:$A$1000,"&lt;="&amp;A943),_xlfn.MINIFS(Weight!$A$2:$A$1000,Weight!$A$2:$A$1000,"&gt;0")),Weight!$A$2:$A$1000,0)),Settings!$B$6))</f>
        <v/>
      </c>
      <c r="I943" s="21">
        <f>IF(B943="","",IFERROR(INDEX(Settings!$B$10:$B$21,MATCH(B943,Settings!$A$10:$A$21,0)),4))</f>
        <v/>
      </c>
      <c r="J943" s="22">
        <f>IF(OR(A943="",C943="",I943=""),"",I943*H943*C943/60)</f>
        <v/>
      </c>
    </row>
    <row r="944">
      <c r="A944" s="35" t="n"/>
      <c r="B944" s="33" t="n"/>
      <c r="C944" s="31" t="n"/>
      <c r="D944" s="30" t="n"/>
      <c r="E944" s="33" t="n"/>
      <c r="F944" s="20">
        <f>IF(A944="","",WEEKNUM(A944,21))</f>
        <v/>
      </c>
      <c r="G944" s="21">
        <f>IF(OR(C944="",N(D944)=0),"",C944/D944)</f>
        <v/>
      </c>
      <c r="H944" s="21">
        <f>IF(A944="","",IFERROR(INDEX(Weight!$B$2:$B$1000,MATCH(IF(_xlfn.MAXIFS(Weight!$A$2:$A$1000,Weight!$A$2:$A$1000,"&lt;="&amp;A944)&gt;0,_xlfn.MAXIFS(Weight!$A$2:$A$1000,Weight!$A$2:$A$1000,"&lt;="&amp;A944),_xlfn.MINIFS(Weight!$A$2:$A$1000,Weight!$A$2:$A$1000,"&gt;0")),Weight!$A$2:$A$1000,0)),Settings!$B$6))</f>
        <v/>
      </c>
      <c r="I944" s="21">
        <f>IF(B944="","",IFERROR(INDEX(Settings!$B$10:$B$21,MATCH(B944,Settings!$A$10:$A$21,0)),4))</f>
        <v/>
      </c>
      <c r="J944" s="22">
        <f>IF(OR(A944="",C944="",I944=""),"",I944*H944*C944/60)</f>
        <v/>
      </c>
    </row>
    <row r="945">
      <c r="A945" s="35" t="n"/>
      <c r="B945" s="33" t="n"/>
      <c r="C945" s="31" t="n"/>
      <c r="D945" s="30" t="n"/>
      <c r="E945" s="33" t="n"/>
      <c r="F945" s="20">
        <f>IF(A945="","",WEEKNUM(A945,21))</f>
        <v/>
      </c>
      <c r="G945" s="21">
        <f>IF(OR(C945="",N(D945)=0),"",C945/D945)</f>
        <v/>
      </c>
      <c r="H945" s="21">
        <f>IF(A945="","",IFERROR(INDEX(Weight!$B$2:$B$1000,MATCH(IF(_xlfn.MAXIFS(Weight!$A$2:$A$1000,Weight!$A$2:$A$1000,"&lt;="&amp;A945)&gt;0,_xlfn.MAXIFS(Weight!$A$2:$A$1000,Weight!$A$2:$A$1000,"&lt;="&amp;A945),_xlfn.MINIFS(Weight!$A$2:$A$1000,Weight!$A$2:$A$1000,"&gt;0")),Weight!$A$2:$A$1000,0)),Settings!$B$6))</f>
        <v/>
      </c>
      <c r="I945" s="21">
        <f>IF(B945="","",IFERROR(INDEX(Settings!$B$10:$B$21,MATCH(B945,Settings!$A$10:$A$21,0)),4))</f>
        <v/>
      </c>
      <c r="J945" s="22">
        <f>IF(OR(A945="",C945="",I945=""),"",I945*H945*C945/60)</f>
        <v/>
      </c>
    </row>
    <row r="946">
      <c r="A946" s="35" t="n"/>
      <c r="B946" s="33" t="n"/>
      <c r="C946" s="31" t="n"/>
      <c r="D946" s="30" t="n"/>
      <c r="E946" s="33" t="n"/>
      <c r="F946" s="20">
        <f>IF(A946="","",WEEKNUM(A946,21))</f>
        <v/>
      </c>
      <c r="G946" s="21">
        <f>IF(OR(C946="",N(D946)=0),"",C946/D946)</f>
        <v/>
      </c>
      <c r="H946" s="21">
        <f>IF(A946="","",IFERROR(INDEX(Weight!$B$2:$B$1000,MATCH(IF(_xlfn.MAXIFS(Weight!$A$2:$A$1000,Weight!$A$2:$A$1000,"&lt;="&amp;A946)&gt;0,_xlfn.MAXIFS(Weight!$A$2:$A$1000,Weight!$A$2:$A$1000,"&lt;="&amp;A946),_xlfn.MINIFS(Weight!$A$2:$A$1000,Weight!$A$2:$A$1000,"&gt;0")),Weight!$A$2:$A$1000,0)),Settings!$B$6))</f>
        <v/>
      </c>
      <c r="I946" s="21">
        <f>IF(B946="","",IFERROR(INDEX(Settings!$B$10:$B$21,MATCH(B946,Settings!$A$10:$A$21,0)),4))</f>
        <v/>
      </c>
      <c r="J946" s="22">
        <f>IF(OR(A946="",C946="",I946=""),"",I946*H946*C946/60)</f>
        <v/>
      </c>
    </row>
    <row r="947">
      <c r="A947" s="35" t="n"/>
      <c r="B947" s="33" t="n"/>
      <c r="C947" s="31" t="n"/>
      <c r="D947" s="30" t="n"/>
      <c r="E947" s="33" t="n"/>
      <c r="F947" s="20">
        <f>IF(A947="","",WEEKNUM(A947,21))</f>
        <v/>
      </c>
      <c r="G947" s="21">
        <f>IF(OR(C947="",N(D947)=0),"",C947/D947)</f>
        <v/>
      </c>
      <c r="H947" s="21">
        <f>IF(A947="","",IFERROR(INDEX(Weight!$B$2:$B$1000,MATCH(IF(_xlfn.MAXIFS(Weight!$A$2:$A$1000,Weight!$A$2:$A$1000,"&lt;="&amp;A947)&gt;0,_xlfn.MAXIFS(Weight!$A$2:$A$1000,Weight!$A$2:$A$1000,"&lt;="&amp;A947),_xlfn.MINIFS(Weight!$A$2:$A$1000,Weight!$A$2:$A$1000,"&gt;0")),Weight!$A$2:$A$1000,0)),Settings!$B$6))</f>
        <v/>
      </c>
      <c r="I947" s="21">
        <f>IF(B947="","",IFERROR(INDEX(Settings!$B$10:$B$21,MATCH(B947,Settings!$A$10:$A$21,0)),4))</f>
        <v/>
      </c>
      <c r="J947" s="22">
        <f>IF(OR(A947="",C947="",I947=""),"",I947*H947*C947/60)</f>
        <v/>
      </c>
    </row>
    <row r="948">
      <c r="A948" s="35" t="n"/>
      <c r="B948" s="33" t="n"/>
      <c r="C948" s="31" t="n"/>
      <c r="D948" s="30" t="n"/>
      <c r="E948" s="33" t="n"/>
      <c r="F948" s="20">
        <f>IF(A948="","",WEEKNUM(A948,21))</f>
        <v/>
      </c>
      <c r="G948" s="21">
        <f>IF(OR(C948="",N(D948)=0),"",C948/D948)</f>
        <v/>
      </c>
      <c r="H948" s="21">
        <f>IF(A948="","",IFERROR(INDEX(Weight!$B$2:$B$1000,MATCH(IF(_xlfn.MAXIFS(Weight!$A$2:$A$1000,Weight!$A$2:$A$1000,"&lt;="&amp;A948)&gt;0,_xlfn.MAXIFS(Weight!$A$2:$A$1000,Weight!$A$2:$A$1000,"&lt;="&amp;A948),_xlfn.MINIFS(Weight!$A$2:$A$1000,Weight!$A$2:$A$1000,"&gt;0")),Weight!$A$2:$A$1000,0)),Settings!$B$6))</f>
        <v/>
      </c>
      <c r="I948" s="21">
        <f>IF(B948="","",IFERROR(INDEX(Settings!$B$10:$B$21,MATCH(B948,Settings!$A$10:$A$21,0)),4))</f>
        <v/>
      </c>
      <c r="J948" s="22">
        <f>IF(OR(A948="",C948="",I948=""),"",I948*H948*C948/60)</f>
        <v/>
      </c>
    </row>
    <row r="949">
      <c r="A949" s="35" t="n"/>
      <c r="B949" s="33" t="n"/>
      <c r="C949" s="31" t="n"/>
      <c r="D949" s="30" t="n"/>
      <c r="E949" s="33" t="n"/>
      <c r="F949" s="20">
        <f>IF(A949="","",WEEKNUM(A949,21))</f>
        <v/>
      </c>
      <c r="G949" s="21">
        <f>IF(OR(C949="",N(D949)=0),"",C949/D949)</f>
        <v/>
      </c>
      <c r="H949" s="21">
        <f>IF(A949="","",IFERROR(INDEX(Weight!$B$2:$B$1000,MATCH(IF(_xlfn.MAXIFS(Weight!$A$2:$A$1000,Weight!$A$2:$A$1000,"&lt;="&amp;A949)&gt;0,_xlfn.MAXIFS(Weight!$A$2:$A$1000,Weight!$A$2:$A$1000,"&lt;="&amp;A949),_xlfn.MINIFS(Weight!$A$2:$A$1000,Weight!$A$2:$A$1000,"&gt;0")),Weight!$A$2:$A$1000,0)),Settings!$B$6))</f>
        <v/>
      </c>
      <c r="I949" s="21">
        <f>IF(B949="","",IFERROR(INDEX(Settings!$B$10:$B$21,MATCH(B949,Settings!$A$10:$A$21,0)),4))</f>
        <v/>
      </c>
      <c r="J949" s="22">
        <f>IF(OR(A949="",C949="",I949=""),"",I949*H949*C949/60)</f>
        <v/>
      </c>
    </row>
    <row r="950">
      <c r="A950" s="35" t="n"/>
      <c r="B950" s="33" t="n"/>
      <c r="C950" s="31" t="n"/>
      <c r="D950" s="30" t="n"/>
      <c r="E950" s="33" t="n"/>
      <c r="F950" s="20">
        <f>IF(A950="","",WEEKNUM(A950,21))</f>
        <v/>
      </c>
      <c r="G950" s="21">
        <f>IF(OR(C950="",N(D950)=0),"",C950/D950)</f>
        <v/>
      </c>
      <c r="H950" s="21">
        <f>IF(A950="","",IFERROR(INDEX(Weight!$B$2:$B$1000,MATCH(IF(_xlfn.MAXIFS(Weight!$A$2:$A$1000,Weight!$A$2:$A$1000,"&lt;="&amp;A950)&gt;0,_xlfn.MAXIFS(Weight!$A$2:$A$1000,Weight!$A$2:$A$1000,"&lt;="&amp;A950),_xlfn.MINIFS(Weight!$A$2:$A$1000,Weight!$A$2:$A$1000,"&gt;0")),Weight!$A$2:$A$1000,0)),Settings!$B$6))</f>
        <v/>
      </c>
      <c r="I950" s="21">
        <f>IF(B950="","",IFERROR(INDEX(Settings!$B$10:$B$21,MATCH(B950,Settings!$A$10:$A$21,0)),4))</f>
        <v/>
      </c>
      <c r="J950" s="22">
        <f>IF(OR(A950="",C950="",I950=""),"",I950*H950*C950/60)</f>
        <v/>
      </c>
    </row>
    <row r="951">
      <c r="A951" s="35" t="n"/>
      <c r="B951" s="33" t="n"/>
      <c r="C951" s="31" t="n"/>
      <c r="D951" s="30" t="n"/>
      <c r="E951" s="33" t="n"/>
      <c r="F951" s="20">
        <f>IF(A951="","",WEEKNUM(A951,21))</f>
        <v/>
      </c>
      <c r="G951" s="21">
        <f>IF(OR(C951="",N(D951)=0),"",C951/D951)</f>
        <v/>
      </c>
      <c r="H951" s="21">
        <f>IF(A951="","",IFERROR(INDEX(Weight!$B$2:$B$1000,MATCH(IF(_xlfn.MAXIFS(Weight!$A$2:$A$1000,Weight!$A$2:$A$1000,"&lt;="&amp;A951)&gt;0,_xlfn.MAXIFS(Weight!$A$2:$A$1000,Weight!$A$2:$A$1000,"&lt;="&amp;A951),_xlfn.MINIFS(Weight!$A$2:$A$1000,Weight!$A$2:$A$1000,"&gt;0")),Weight!$A$2:$A$1000,0)),Settings!$B$6))</f>
        <v/>
      </c>
      <c r="I951" s="21">
        <f>IF(B951="","",IFERROR(INDEX(Settings!$B$10:$B$21,MATCH(B951,Settings!$A$10:$A$21,0)),4))</f>
        <v/>
      </c>
      <c r="J951" s="22">
        <f>IF(OR(A951="",C951="",I951=""),"",I951*H951*C951/60)</f>
        <v/>
      </c>
    </row>
    <row r="952">
      <c r="A952" s="35" t="n"/>
      <c r="B952" s="33" t="n"/>
      <c r="C952" s="31" t="n"/>
      <c r="D952" s="30" t="n"/>
      <c r="E952" s="33" t="n"/>
      <c r="F952" s="20">
        <f>IF(A952="","",WEEKNUM(A952,21))</f>
        <v/>
      </c>
      <c r="G952" s="21">
        <f>IF(OR(C952="",N(D952)=0),"",C952/D952)</f>
        <v/>
      </c>
      <c r="H952" s="21">
        <f>IF(A952="","",IFERROR(INDEX(Weight!$B$2:$B$1000,MATCH(IF(_xlfn.MAXIFS(Weight!$A$2:$A$1000,Weight!$A$2:$A$1000,"&lt;="&amp;A952)&gt;0,_xlfn.MAXIFS(Weight!$A$2:$A$1000,Weight!$A$2:$A$1000,"&lt;="&amp;A952),_xlfn.MINIFS(Weight!$A$2:$A$1000,Weight!$A$2:$A$1000,"&gt;0")),Weight!$A$2:$A$1000,0)),Settings!$B$6))</f>
        <v/>
      </c>
      <c r="I952" s="21">
        <f>IF(B952="","",IFERROR(INDEX(Settings!$B$10:$B$21,MATCH(B952,Settings!$A$10:$A$21,0)),4))</f>
        <v/>
      </c>
      <c r="J952" s="22">
        <f>IF(OR(A952="",C952="",I952=""),"",I952*H952*C952/60)</f>
        <v/>
      </c>
    </row>
    <row r="953">
      <c r="A953" s="35" t="n"/>
      <c r="B953" s="33" t="n"/>
      <c r="C953" s="31" t="n"/>
      <c r="D953" s="30" t="n"/>
      <c r="E953" s="33" t="n"/>
      <c r="F953" s="20">
        <f>IF(A953="","",WEEKNUM(A953,21))</f>
        <v/>
      </c>
      <c r="G953" s="21">
        <f>IF(OR(C953="",N(D953)=0),"",C953/D953)</f>
        <v/>
      </c>
      <c r="H953" s="21">
        <f>IF(A953="","",IFERROR(INDEX(Weight!$B$2:$B$1000,MATCH(IF(_xlfn.MAXIFS(Weight!$A$2:$A$1000,Weight!$A$2:$A$1000,"&lt;="&amp;A953)&gt;0,_xlfn.MAXIFS(Weight!$A$2:$A$1000,Weight!$A$2:$A$1000,"&lt;="&amp;A953),_xlfn.MINIFS(Weight!$A$2:$A$1000,Weight!$A$2:$A$1000,"&gt;0")),Weight!$A$2:$A$1000,0)),Settings!$B$6))</f>
        <v/>
      </c>
      <c r="I953" s="21">
        <f>IF(B953="","",IFERROR(INDEX(Settings!$B$10:$B$21,MATCH(B953,Settings!$A$10:$A$21,0)),4))</f>
        <v/>
      </c>
      <c r="J953" s="22">
        <f>IF(OR(A953="",C953="",I953=""),"",I953*H953*C953/60)</f>
        <v/>
      </c>
    </row>
    <row r="954">
      <c r="A954" s="35" t="n"/>
      <c r="B954" s="33" t="n"/>
      <c r="C954" s="31" t="n"/>
      <c r="D954" s="30" t="n"/>
      <c r="E954" s="33" t="n"/>
      <c r="F954" s="20">
        <f>IF(A954="","",WEEKNUM(A954,21))</f>
        <v/>
      </c>
      <c r="G954" s="21">
        <f>IF(OR(C954="",N(D954)=0),"",C954/D954)</f>
        <v/>
      </c>
      <c r="H954" s="21">
        <f>IF(A954="","",IFERROR(INDEX(Weight!$B$2:$B$1000,MATCH(IF(_xlfn.MAXIFS(Weight!$A$2:$A$1000,Weight!$A$2:$A$1000,"&lt;="&amp;A954)&gt;0,_xlfn.MAXIFS(Weight!$A$2:$A$1000,Weight!$A$2:$A$1000,"&lt;="&amp;A954),_xlfn.MINIFS(Weight!$A$2:$A$1000,Weight!$A$2:$A$1000,"&gt;0")),Weight!$A$2:$A$1000,0)),Settings!$B$6))</f>
        <v/>
      </c>
      <c r="I954" s="21">
        <f>IF(B954="","",IFERROR(INDEX(Settings!$B$10:$B$21,MATCH(B954,Settings!$A$10:$A$21,0)),4))</f>
        <v/>
      </c>
      <c r="J954" s="22">
        <f>IF(OR(A954="",C954="",I954=""),"",I954*H954*C954/60)</f>
        <v/>
      </c>
    </row>
    <row r="955">
      <c r="A955" s="35" t="n"/>
      <c r="B955" s="33" t="n"/>
      <c r="C955" s="31" t="n"/>
      <c r="D955" s="30" t="n"/>
      <c r="E955" s="33" t="n"/>
      <c r="F955" s="20">
        <f>IF(A955="","",WEEKNUM(A955,21))</f>
        <v/>
      </c>
      <c r="G955" s="21">
        <f>IF(OR(C955="",N(D955)=0),"",C955/D955)</f>
        <v/>
      </c>
      <c r="H955" s="21">
        <f>IF(A955="","",IFERROR(INDEX(Weight!$B$2:$B$1000,MATCH(IF(_xlfn.MAXIFS(Weight!$A$2:$A$1000,Weight!$A$2:$A$1000,"&lt;="&amp;A955)&gt;0,_xlfn.MAXIFS(Weight!$A$2:$A$1000,Weight!$A$2:$A$1000,"&lt;="&amp;A955),_xlfn.MINIFS(Weight!$A$2:$A$1000,Weight!$A$2:$A$1000,"&gt;0")),Weight!$A$2:$A$1000,0)),Settings!$B$6))</f>
        <v/>
      </c>
      <c r="I955" s="21">
        <f>IF(B955="","",IFERROR(INDEX(Settings!$B$10:$B$21,MATCH(B955,Settings!$A$10:$A$21,0)),4))</f>
        <v/>
      </c>
      <c r="J955" s="22">
        <f>IF(OR(A955="",C955="",I955=""),"",I955*H955*C955/60)</f>
        <v/>
      </c>
    </row>
    <row r="956">
      <c r="A956" s="35" t="n"/>
      <c r="B956" s="33" t="n"/>
      <c r="C956" s="31" t="n"/>
      <c r="D956" s="30" t="n"/>
      <c r="E956" s="33" t="n"/>
      <c r="F956" s="20">
        <f>IF(A956="","",WEEKNUM(A956,21))</f>
        <v/>
      </c>
      <c r="G956" s="21">
        <f>IF(OR(C956="",N(D956)=0),"",C956/D956)</f>
        <v/>
      </c>
      <c r="H956" s="21">
        <f>IF(A956="","",IFERROR(INDEX(Weight!$B$2:$B$1000,MATCH(IF(_xlfn.MAXIFS(Weight!$A$2:$A$1000,Weight!$A$2:$A$1000,"&lt;="&amp;A956)&gt;0,_xlfn.MAXIFS(Weight!$A$2:$A$1000,Weight!$A$2:$A$1000,"&lt;="&amp;A956),_xlfn.MINIFS(Weight!$A$2:$A$1000,Weight!$A$2:$A$1000,"&gt;0")),Weight!$A$2:$A$1000,0)),Settings!$B$6))</f>
        <v/>
      </c>
      <c r="I956" s="21">
        <f>IF(B956="","",IFERROR(INDEX(Settings!$B$10:$B$21,MATCH(B956,Settings!$A$10:$A$21,0)),4))</f>
        <v/>
      </c>
      <c r="J956" s="22">
        <f>IF(OR(A956="",C956="",I956=""),"",I956*H956*C956/60)</f>
        <v/>
      </c>
    </row>
    <row r="957">
      <c r="A957" s="35" t="n"/>
      <c r="B957" s="33" t="n"/>
      <c r="C957" s="31" t="n"/>
      <c r="D957" s="30" t="n"/>
      <c r="E957" s="33" t="n"/>
      <c r="F957" s="20">
        <f>IF(A957="","",WEEKNUM(A957,21))</f>
        <v/>
      </c>
      <c r="G957" s="21">
        <f>IF(OR(C957="",N(D957)=0),"",C957/D957)</f>
        <v/>
      </c>
      <c r="H957" s="21">
        <f>IF(A957="","",IFERROR(INDEX(Weight!$B$2:$B$1000,MATCH(IF(_xlfn.MAXIFS(Weight!$A$2:$A$1000,Weight!$A$2:$A$1000,"&lt;="&amp;A957)&gt;0,_xlfn.MAXIFS(Weight!$A$2:$A$1000,Weight!$A$2:$A$1000,"&lt;="&amp;A957),_xlfn.MINIFS(Weight!$A$2:$A$1000,Weight!$A$2:$A$1000,"&gt;0")),Weight!$A$2:$A$1000,0)),Settings!$B$6))</f>
        <v/>
      </c>
      <c r="I957" s="21">
        <f>IF(B957="","",IFERROR(INDEX(Settings!$B$10:$B$21,MATCH(B957,Settings!$A$10:$A$21,0)),4))</f>
        <v/>
      </c>
      <c r="J957" s="22">
        <f>IF(OR(A957="",C957="",I957=""),"",I957*H957*C957/60)</f>
        <v/>
      </c>
    </row>
    <row r="958">
      <c r="A958" s="35" t="n"/>
      <c r="B958" s="33" t="n"/>
      <c r="C958" s="31" t="n"/>
      <c r="D958" s="30" t="n"/>
      <c r="E958" s="33" t="n"/>
      <c r="F958" s="20">
        <f>IF(A958="","",WEEKNUM(A958,21))</f>
        <v/>
      </c>
      <c r="G958" s="21">
        <f>IF(OR(C958="",N(D958)=0),"",C958/D958)</f>
        <v/>
      </c>
      <c r="H958" s="21">
        <f>IF(A958="","",IFERROR(INDEX(Weight!$B$2:$B$1000,MATCH(IF(_xlfn.MAXIFS(Weight!$A$2:$A$1000,Weight!$A$2:$A$1000,"&lt;="&amp;A958)&gt;0,_xlfn.MAXIFS(Weight!$A$2:$A$1000,Weight!$A$2:$A$1000,"&lt;="&amp;A958),_xlfn.MINIFS(Weight!$A$2:$A$1000,Weight!$A$2:$A$1000,"&gt;0")),Weight!$A$2:$A$1000,0)),Settings!$B$6))</f>
        <v/>
      </c>
      <c r="I958" s="21">
        <f>IF(B958="","",IFERROR(INDEX(Settings!$B$10:$B$21,MATCH(B958,Settings!$A$10:$A$21,0)),4))</f>
        <v/>
      </c>
      <c r="J958" s="22">
        <f>IF(OR(A958="",C958="",I958=""),"",I958*H958*C958/60)</f>
        <v/>
      </c>
    </row>
    <row r="959">
      <c r="A959" s="35" t="n"/>
      <c r="B959" s="33" t="n"/>
      <c r="C959" s="31" t="n"/>
      <c r="D959" s="30" t="n"/>
      <c r="E959" s="33" t="n"/>
      <c r="F959" s="20">
        <f>IF(A959="","",WEEKNUM(A959,21))</f>
        <v/>
      </c>
      <c r="G959" s="21">
        <f>IF(OR(C959="",N(D959)=0),"",C959/D959)</f>
        <v/>
      </c>
      <c r="H959" s="21">
        <f>IF(A959="","",IFERROR(INDEX(Weight!$B$2:$B$1000,MATCH(IF(_xlfn.MAXIFS(Weight!$A$2:$A$1000,Weight!$A$2:$A$1000,"&lt;="&amp;A959)&gt;0,_xlfn.MAXIFS(Weight!$A$2:$A$1000,Weight!$A$2:$A$1000,"&lt;="&amp;A959),_xlfn.MINIFS(Weight!$A$2:$A$1000,Weight!$A$2:$A$1000,"&gt;0")),Weight!$A$2:$A$1000,0)),Settings!$B$6))</f>
        <v/>
      </c>
      <c r="I959" s="21">
        <f>IF(B959="","",IFERROR(INDEX(Settings!$B$10:$B$21,MATCH(B959,Settings!$A$10:$A$21,0)),4))</f>
        <v/>
      </c>
      <c r="J959" s="22">
        <f>IF(OR(A959="",C959="",I959=""),"",I959*H959*C959/60)</f>
        <v/>
      </c>
    </row>
    <row r="960">
      <c r="A960" s="35" t="n"/>
      <c r="B960" s="33" t="n"/>
      <c r="C960" s="31" t="n"/>
      <c r="D960" s="30" t="n"/>
      <c r="E960" s="33" t="n"/>
      <c r="F960" s="20">
        <f>IF(A960="","",WEEKNUM(A960,21))</f>
        <v/>
      </c>
      <c r="G960" s="21">
        <f>IF(OR(C960="",N(D960)=0),"",C960/D960)</f>
        <v/>
      </c>
      <c r="H960" s="21">
        <f>IF(A960="","",IFERROR(INDEX(Weight!$B$2:$B$1000,MATCH(IF(_xlfn.MAXIFS(Weight!$A$2:$A$1000,Weight!$A$2:$A$1000,"&lt;="&amp;A960)&gt;0,_xlfn.MAXIFS(Weight!$A$2:$A$1000,Weight!$A$2:$A$1000,"&lt;="&amp;A960),_xlfn.MINIFS(Weight!$A$2:$A$1000,Weight!$A$2:$A$1000,"&gt;0")),Weight!$A$2:$A$1000,0)),Settings!$B$6))</f>
        <v/>
      </c>
      <c r="I960" s="21">
        <f>IF(B960="","",IFERROR(INDEX(Settings!$B$10:$B$21,MATCH(B960,Settings!$A$10:$A$21,0)),4))</f>
        <v/>
      </c>
      <c r="J960" s="22">
        <f>IF(OR(A960="",C960="",I960=""),"",I960*H960*C960/60)</f>
        <v/>
      </c>
    </row>
    <row r="961">
      <c r="A961" s="35" t="n"/>
      <c r="B961" s="33" t="n"/>
      <c r="C961" s="31" t="n"/>
      <c r="D961" s="30" t="n"/>
      <c r="E961" s="33" t="n"/>
      <c r="F961" s="20">
        <f>IF(A961="","",WEEKNUM(A961,21))</f>
        <v/>
      </c>
      <c r="G961" s="21">
        <f>IF(OR(C961="",N(D961)=0),"",C961/D961)</f>
        <v/>
      </c>
      <c r="H961" s="21">
        <f>IF(A961="","",IFERROR(INDEX(Weight!$B$2:$B$1000,MATCH(IF(_xlfn.MAXIFS(Weight!$A$2:$A$1000,Weight!$A$2:$A$1000,"&lt;="&amp;A961)&gt;0,_xlfn.MAXIFS(Weight!$A$2:$A$1000,Weight!$A$2:$A$1000,"&lt;="&amp;A961),_xlfn.MINIFS(Weight!$A$2:$A$1000,Weight!$A$2:$A$1000,"&gt;0")),Weight!$A$2:$A$1000,0)),Settings!$B$6))</f>
        <v/>
      </c>
      <c r="I961" s="21">
        <f>IF(B961="","",IFERROR(INDEX(Settings!$B$10:$B$21,MATCH(B961,Settings!$A$10:$A$21,0)),4))</f>
        <v/>
      </c>
      <c r="J961" s="22">
        <f>IF(OR(A961="",C961="",I961=""),"",I961*H961*C961/60)</f>
        <v/>
      </c>
    </row>
    <row r="962">
      <c r="A962" s="35" t="n"/>
      <c r="B962" s="33" t="n"/>
      <c r="C962" s="31" t="n"/>
      <c r="D962" s="30" t="n"/>
      <c r="E962" s="33" t="n"/>
      <c r="F962" s="20">
        <f>IF(A962="","",WEEKNUM(A962,21))</f>
        <v/>
      </c>
      <c r="G962" s="21">
        <f>IF(OR(C962="",N(D962)=0),"",C962/D962)</f>
        <v/>
      </c>
      <c r="H962" s="21">
        <f>IF(A962="","",IFERROR(INDEX(Weight!$B$2:$B$1000,MATCH(IF(_xlfn.MAXIFS(Weight!$A$2:$A$1000,Weight!$A$2:$A$1000,"&lt;="&amp;A962)&gt;0,_xlfn.MAXIFS(Weight!$A$2:$A$1000,Weight!$A$2:$A$1000,"&lt;="&amp;A962),_xlfn.MINIFS(Weight!$A$2:$A$1000,Weight!$A$2:$A$1000,"&gt;0")),Weight!$A$2:$A$1000,0)),Settings!$B$6))</f>
        <v/>
      </c>
      <c r="I962" s="21">
        <f>IF(B962="","",IFERROR(INDEX(Settings!$B$10:$B$21,MATCH(B962,Settings!$A$10:$A$21,0)),4))</f>
        <v/>
      </c>
      <c r="J962" s="22">
        <f>IF(OR(A962="",C962="",I962=""),"",I962*H962*C962/60)</f>
        <v/>
      </c>
    </row>
    <row r="963">
      <c r="A963" s="35" t="n"/>
      <c r="B963" s="33" t="n"/>
      <c r="C963" s="31" t="n"/>
      <c r="D963" s="30" t="n"/>
      <c r="E963" s="33" t="n"/>
      <c r="F963" s="20">
        <f>IF(A963="","",WEEKNUM(A963,21))</f>
        <v/>
      </c>
      <c r="G963" s="21">
        <f>IF(OR(C963="",N(D963)=0),"",C963/D963)</f>
        <v/>
      </c>
      <c r="H963" s="21">
        <f>IF(A963="","",IFERROR(INDEX(Weight!$B$2:$B$1000,MATCH(IF(_xlfn.MAXIFS(Weight!$A$2:$A$1000,Weight!$A$2:$A$1000,"&lt;="&amp;A963)&gt;0,_xlfn.MAXIFS(Weight!$A$2:$A$1000,Weight!$A$2:$A$1000,"&lt;="&amp;A963),_xlfn.MINIFS(Weight!$A$2:$A$1000,Weight!$A$2:$A$1000,"&gt;0")),Weight!$A$2:$A$1000,0)),Settings!$B$6))</f>
        <v/>
      </c>
      <c r="I963" s="21">
        <f>IF(B963="","",IFERROR(INDEX(Settings!$B$10:$B$21,MATCH(B963,Settings!$A$10:$A$21,0)),4))</f>
        <v/>
      </c>
      <c r="J963" s="22">
        <f>IF(OR(A963="",C963="",I963=""),"",I963*H963*C963/60)</f>
        <v/>
      </c>
    </row>
    <row r="964">
      <c r="A964" s="35" t="n"/>
      <c r="B964" s="33" t="n"/>
      <c r="C964" s="31" t="n"/>
      <c r="D964" s="30" t="n"/>
      <c r="E964" s="33" t="n"/>
      <c r="F964" s="20">
        <f>IF(A964="","",WEEKNUM(A964,21))</f>
        <v/>
      </c>
      <c r="G964" s="21">
        <f>IF(OR(C964="",N(D964)=0),"",C964/D964)</f>
        <v/>
      </c>
      <c r="H964" s="21">
        <f>IF(A964="","",IFERROR(INDEX(Weight!$B$2:$B$1000,MATCH(IF(_xlfn.MAXIFS(Weight!$A$2:$A$1000,Weight!$A$2:$A$1000,"&lt;="&amp;A964)&gt;0,_xlfn.MAXIFS(Weight!$A$2:$A$1000,Weight!$A$2:$A$1000,"&lt;="&amp;A964),_xlfn.MINIFS(Weight!$A$2:$A$1000,Weight!$A$2:$A$1000,"&gt;0")),Weight!$A$2:$A$1000,0)),Settings!$B$6))</f>
        <v/>
      </c>
      <c r="I964" s="21">
        <f>IF(B964="","",IFERROR(INDEX(Settings!$B$10:$B$21,MATCH(B964,Settings!$A$10:$A$21,0)),4))</f>
        <v/>
      </c>
      <c r="J964" s="22">
        <f>IF(OR(A964="",C964="",I964=""),"",I964*H964*C964/60)</f>
        <v/>
      </c>
    </row>
    <row r="965">
      <c r="A965" s="35" t="n"/>
      <c r="B965" s="33" t="n"/>
      <c r="C965" s="31" t="n"/>
      <c r="D965" s="30" t="n"/>
      <c r="E965" s="33" t="n"/>
      <c r="F965" s="20">
        <f>IF(A965="","",WEEKNUM(A965,21))</f>
        <v/>
      </c>
      <c r="G965" s="21">
        <f>IF(OR(C965="",N(D965)=0),"",C965/D965)</f>
        <v/>
      </c>
      <c r="H965" s="21">
        <f>IF(A965="","",IFERROR(INDEX(Weight!$B$2:$B$1000,MATCH(IF(_xlfn.MAXIFS(Weight!$A$2:$A$1000,Weight!$A$2:$A$1000,"&lt;="&amp;A965)&gt;0,_xlfn.MAXIFS(Weight!$A$2:$A$1000,Weight!$A$2:$A$1000,"&lt;="&amp;A965),_xlfn.MINIFS(Weight!$A$2:$A$1000,Weight!$A$2:$A$1000,"&gt;0")),Weight!$A$2:$A$1000,0)),Settings!$B$6))</f>
        <v/>
      </c>
      <c r="I965" s="21">
        <f>IF(B965="","",IFERROR(INDEX(Settings!$B$10:$B$21,MATCH(B965,Settings!$A$10:$A$21,0)),4))</f>
        <v/>
      </c>
      <c r="J965" s="22">
        <f>IF(OR(A965="",C965="",I965=""),"",I965*H965*C965/60)</f>
        <v/>
      </c>
    </row>
    <row r="966">
      <c r="A966" s="35" t="n"/>
      <c r="B966" s="33" t="n"/>
      <c r="C966" s="31" t="n"/>
      <c r="D966" s="30" t="n"/>
      <c r="E966" s="33" t="n"/>
      <c r="F966" s="20">
        <f>IF(A966="","",WEEKNUM(A966,21))</f>
        <v/>
      </c>
      <c r="G966" s="21">
        <f>IF(OR(C966="",N(D966)=0),"",C966/D966)</f>
        <v/>
      </c>
      <c r="H966" s="21">
        <f>IF(A966="","",IFERROR(INDEX(Weight!$B$2:$B$1000,MATCH(IF(_xlfn.MAXIFS(Weight!$A$2:$A$1000,Weight!$A$2:$A$1000,"&lt;="&amp;A966)&gt;0,_xlfn.MAXIFS(Weight!$A$2:$A$1000,Weight!$A$2:$A$1000,"&lt;="&amp;A966),_xlfn.MINIFS(Weight!$A$2:$A$1000,Weight!$A$2:$A$1000,"&gt;0")),Weight!$A$2:$A$1000,0)),Settings!$B$6))</f>
        <v/>
      </c>
      <c r="I966" s="21">
        <f>IF(B966="","",IFERROR(INDEX(Settings!$B$10:$B$21,MATCH(B966,Settings!$A$10:$A$21,0)),4))</f>
        <v/>
      </c>
      <c r="J966" s="22">
        <f>IF(OR(A966="",C966="",I966=""),"",I966*H966*C966/60)</f>
        <v/>
      </c>
    </row>
    <row r="967">
      <c r="A967" s="35" t="n"/>
      <c r="B967" s="33" t="n"/>
      <c r="C967" s="31" t="n"/>
      <c r="D967" s="30" t="n"/>
      <c r="E967" s="33" t="n"/>
      <c r="F967" s="20">
        <f>IF(A967="","",WEEKNUM(A967,21))</f>
        <v/>
      </c>
      <c r="G967" s="21">
        <f>IF(OR(C967="",N(D967)=0),"",C967/D967)</f>
        <v/>
      </c>
      <c r="H967" s="21">
        <f>IF(A967="","",IFERROR(INDEX(Weight!$B$2:$B$1000,MATCH(IF(_xlfn.MAXIFS(Weight!$A$2:$A$1000,Weight!$A$2:$A$1000,"&lt;="&amp;A967)&gt;0,_xlfn.MAXIFS(Weight!$A$2:$A$1000,Weight!$A$2:$A$1000,"&lt;="&amp;A967),_xlfn.MINIFS(Weight!$A$2:$A$1000,Weight!$A$2:$A$1000,"&gt;0")),Weight!$A$2:$A$1000,0)),Settings!$B$6))</f>
        <v/>
      </c>
      <c r="I967" s="21">
        <f>IF(B967="","",IFERROR(INDEX(Settings!$B$10:$B$21,MATCH(B967,Settings!$A$10:$A$21,0)),4))</f>
        <v/>
      </c>
      <c r="J967" s="22">
        <f>IF(OR(A967="",C967="",I967=""),"",I967*H967*C967/60)</f>
        <v/>
      </c>
    </row>
    <row r="968">
      <c r="A968" s="35" t="n"/>
      <c r="B968" s="33" t="n"/>
      <c r="C968" s="31" t="n"/>
      <c r="D968" s="30" t="n"/>
      <c r="E968" s="33" t="n"/>
      <c r="F968" s="20">
        <f>IF(A968="","",WEEKNUM(A968,21))</f>
        <v/>
      </c>
      <c r="G968" s="21">
        <f>IF(OR(C968="",N(D968)=0),"",C968/D968)</f>
        <v/>
      </c>
      <c r="H968" s="21">
        <f>IF(A968="","",IFERROR(INDEX(Weight!$B$2:$B$1000,MATCH(IF(_xlfn.MAXIFS(Weight!$A$2:$A$1000,Weight!$A$2:$A$1000,"&lt;="&amp;A968)&gt;0,_xlfn.MAXIFS(Weight!$A$2:$A$1000,Weight!$A$2:$A$1000,"&lt;="&amp;A968),_xlfn.MINIFS(Weight!$A$2:$A$1000,Weight!$A$2:$A$1000,"&gt;0")),Weight!$A$2:$A$1000,0)),Settings!$B$6))</f>
        <v/>
      </c>
      <c r="I968" s="21">
        <f>IF(B968="","",IFERROR(INDEX(Settings!$B$10:$B$21,MATCH(B968,Settings!$A$10:$A$21,0)),4))</f>
        <v/>
      </c>
      <c r="J968" s="22">
        <f>IF(OR(A968="",C968="",I968=""),"",I968*H968*C968/60)</f>
        <v/>
      </c>
    </row>
    <row r="969">
      <c r="A969" s="35" t="n"/>
      <c r="B969" s="33" t="n"/>
      <c r="C969" s="31" t="n"/>
      <c r="D969" s="30" t="n"/>
      <c r="E969" s="33" t="n"/>
      <c r="F969" s="20">
        <f>IF(A969="","",WEEKNUM(A969,21))</f>
        <v/>
      </c>
      <c r="G969" s="21">
        <f>IF(OR(C969="",N(D969)=0),"",C969/D969)</f>
        <v/>
      </c>
      <c r="H969" s="21">
        <f>IF(A969="","",IFERROR(INDEX(Weight!$B$2:$B$1000,MATCH(IF(_xlfn.MAXIFS(Weight!$A$2:$A$1000,Weight!$A$2:$A$1000,"&lt;="&amp;A969)&gt;0,_xlfn.MAXIFS(Weight!$A$2:$A$1000,Weight!$A$2:$A$1000,"&lt;="&amp;A969),_xlfn.MINIFS(Weight!$A$2:$A$1000,Weight!$A$2:$A$1000,"&gt;0")),Weight!$A$2:$A$1000,0)),Settings!$B$6))</f>
        <v/>
      </c>
      <c r="I969" s="21">
        <f>IF(B969="","",IFERROR(INDEX(Settings!$B$10:$B$21,MATCH(B969,Settings!$A$10:$A$21,0)),4))</f>
        <v/>
      </c>
      <c r="J969" s="22">
        <f>IF(OR(A969="",C969="",I969=""),"",I969*H969*C969/60)</f>
        <v/>
      </c>
    </row>
    <row r="970">
      <c r="A970" s="35" t="n"/>
      <c r="B970" s="33" t="n"/>
      <c r="C970" s="31" t="n"/>
      <c r="D970" s="30" t="n"/>
      <c r="E970" s="33" t="n"/>
      <c r="F970" s="20">
        <f>IF(A970="","",WEEKNUM(A970,21))</f>
        <v/>
      </c>
      <c r="G970" s="21">
        <f>IF(OR(C970="",N(D970)=0),"",C970/D970)</f>
        <v/>
      </c>
      <c r="H970" s="21">
        <f>IF(A970="","",IFERROR(INDEX(Weight!$B$2:$B$1000,MATCH(IF(_xlfn.MAXIFS(Weight!$A$2:$A$1000,Weight!$A$2:$A$1000,"&lt;="&amp;A970)&gt;0,_xlfn.MAXIFS(Weight!$A$2:$A$1000,Weight!$A$2:$A$1000,"&lt;="&amp;A970),_xlfn.MINIFS(Weight!$A$2:$A$1000,Weight!$A$2:$A$1000,"&gt;0")),Weight!$A$2:$A$1000,0)),Settings!$B$6))</f>
        <v/>
      </c>
      <c r="I970" s="21">
        <f>IF(B970="","",IFERROR(INDEX(Settings!$B$10:$B$21,MATCH(B970,Settings!$A$10:$A$21,0)),4))</f>
        <v/>
      </c>
      <c r="J970" s="22">
        <f>IF(OR(A970="",C970="",I970=""),"",I970*H970*C970/60)</f>
        <v/>
      </c>
    </row>
    <row r="971">
      <c r="A971" s="35" t="n"/>
      <c r="B971" s="33" t="n"/>
      <c r="C971" s="31" t="n"/>
      <c r="D971" s="30" t="n"/>
      <c r="E971" s="33" t="n"/>
      <c r="F971" s="20">
        <f>IF(A971="","",WEEKNUM(A971,21))</f>
        <v/>
      </c>
      <c r="G971" s="21">
        <f>IF(OR(C971="",N(D971)=0),"",C971/D971)</f>
        <v/>
      </c>
      <c r="H971" s="21">
        <f>IF(A971="","",IFERROR(INDEX(Weight!$B$2:$B$1000,MATCH(IF(_xlfn.MAXIFS(Weight!$A$2:$A$1000,Weight!$A$2:$A$1000,"&lt;="&amp;A971)&gt;0,_xlfn.MAXIFS(Weight!$A$2:$A$1000,Weight!$A$2:$A$1000,"&lt;="&amp;A971),_xlfn.MINIFS(Weight!$A$2:$A$1000,Weight!$A$2:$A$1000,"&gt;0")),Weight!$A$2:$A$1000,0)),Settings!$B$6))</f>
        <v/>
      </c>
      <c r="I971" s="21">
        <f>IF(B971="","",IFERROR(INDEX(Settings!$B$10:$B$21,MATCH(B971,Settings!$A$10:$A$21,0)),4))</f>
        <v/>
      </c>
      <c r="J971" s="22">
        <f>IF(OR(A971="",C971="",I971=""),"",I971*H971*C971/60)</f>
        <v/>
      </c>
    </row>
    <row r="972">
      <c r="A972" s="35" t="n"/>
      <c r="B972" s="33" t="n"/>
      <c r="C972" s="31" t="n"/>
      <c r="D972" s="30" t="n"/>
      <c r="E972" s="33" t="n"/>
      <c r="F972" s="20">
        <f>IF(A972="","",WEEKNUM(A972,21))</f>
        <v/>
      </c>
      <c r="G972" s="21">
        <f>IF(OR(C972="",N(D972)=0),"",C972/D972)</f>
        <v/>
      </c>
      <c r="H972" s="21">
        <f>IF(A972="","",IFERROR(INDEX(Weight!$B$2:$B$1000,MATCH(IF(_xlfn.MAXIFS(Weight!$A$2:$A$1000,Weight!$A$2:$A$1000,"&lt;="&amp;A972)&gt;0,_xlfn.MAXIFS(Weight!$A$2:$A$1000,Weight!$A$2:$A$1000,"&lt;="&amp;A972),_xlfn.MINIFS(Weight!$A$2:$A$1000,Weight!$A$2:$A$1000,"&gt;0")),Weight!$A$2:$A$1000,0)),Settings!$B$6))</f>
        <v/>
      </c>
      <c r="I972" s="21">
        <f>IF(B972="","",IFERROR(INDEX(Settings!$B$10:$B$21,MATCH(B972,Settings!$A$10:$A$21,0)),4))</f>
        <v/>
      </c>
      <c r="J972" s="22">
        <f>IF(OR(A972="",C972="",I972=""),"",I972*H972*C972/60)</f>
        <v/>
      </c>
    </row>
    <row r="973">
      <c r="A973" s="35" t="n"/>
      <c r="B973" s="33" t="n"/>
      <c r="C973" s="31" t="n"/>
      <c r="D973" s="30" t="n"/>
      <c r="E973" s="33" t="n"/>
      <c r="F973" s="20">
        <f>IF(A973="","",WEEKNUM(A973,21))</f>
        <v/>
      </c>
      <c r="G973" s="21">
        <f>IF(OR(C973="",N(D973)=0),"",C973/D973)</f>
        <v/>
      </c>
      <c r="H973" s="21">
        <f>IF(A973="","",IFERROR(INDEX(Weight!$B$2:$B$1000,MATCH(IF(_xlfn.MAXIFS(Weight!$A$2:$A$1000,Weight!$A$2:$A$1000,"&lt;="&amp;A973)&gt;0,_xlfn.MAXIFS(Weight!$A$2:$A$1000,Weight!$A$2:$A$1000,"&lt;="&amp;A973),_xlfn.MINIFS(Weight!$A$2:$A$1000,Weight!$A$2:$A$1000,"&gt;0")),Weight!$A$2:$A$1000,0)),Settings!$B$6))</f>
        <v/>
      </c>
      <c r="I973" s="21">
        <f>IF(B973="","",IFERROR(INDEX(Settings!$B$10:$B$21,MATCH(B973,Settings!$A$10:$A$21,0)),4))</f>
        <v/>
      </c>
      <c r="J973" s="22">
        <f>IF(OR(A973="",C973="",I973=""),"",I973*H973*C973/60)</f>
        <v/>
      </c>
    </row>
    <row r="974">
      <c r="A974" s="35" t="n"/>
      <c r="B974" s="33" t="n"/>
      <c r="C974" s="31" t="n"/>
      <c r="D974" s="30" t="n"/>
      <c r="E974" s="33" t="n"/>
      <c r="F974" s="20">
        <f>IF(A974="","",WEEKNUM(A974,21))</f>
        <v/>
      </c>
      <c r="G974" s="21">
        <f>IF(OR(C974="",N(D974)=0),"",C974/D974)</f>
        <v/>
      </c>
      <c r="H974" s="21">
        <f>IF(A974="","",IFERROR(INDEX(Weight!$B$2:$B$1000,MATCH(IF(_xlfn.MAXIFS(Weight!$A$2:$A$1000,Weight!$A$2:$A$1000,"&lt;="&amp;A974)&gt;0,_xlfn.MAXIFS(Weight!$A$2:$A$1000,Weight!$A$2:$A$1000,"&lt;="&amp;A974),_xlfn.MINIFS(Weight!$A$2:$A$1000,Weight!$A$2:$A$1000,"&gt;0")),Weight!$A$2:$A$1000,0)),Settings!$B$6))</f>
        <v/>
      </c>
      <c r="I974" s="21">
        <f>IF(B974="","",IFERROR(INDEX(Settings!$B$10:$B$21,MATCH(B974,Settings!$A$10:$A$21,0)),4))</f>
        <v/>
      </c>
      <c r="J974" s="22">
        <f>IF(OR(A974="",C974="",I974=""),"",I974*H974*C974/60)</f>
        <v/>
      </c>
    </row>
    <row r="975">
      <c r="A975" s="35" t="n"/>
      <c r="B975" s="33" t="n"/>
      <c r="C975" s="31" t="n"/>
      <c r="D975" s="30" t="n"/>
      <c r="E975" s="33" t="n"/>
      <c r="F975" s="20">
        <f>IF(A975="","",WEEKNUM(A975,21))</f>
        <v/>
      </c>
      <c r="G975" s="21">
        <f>IF(OR(C975="",N(D975)=0),"",C975/D975)</f>
        <v/>
      </c>
      <c r="H975" s="21">
        <f>IF(A975="","",IFERROR(INDEX(Weight!$B$2:$B$1000,MATCH(IF(_xlfn.MAXIFS(Weight!$A$2:$A$1000,Weight!$A$2:$A$1000,"&lt;="&amp;A975)&gt;0,_xlfn.MAXIFS(Weight!$A$2:$A$1000,Weight!$A$2:$A$1000,"&lt;="&amp;A975),_xlfn.MINIFS(Weight!$A$2:$A$1000,Weight!$A$2:$A$1000,"&gt;0")),Weight!$A$2:$A$1000,0)),Settings!$B$6))</f>
        <v/>
      </c>
      <c r="I975" s="21">
        <f>IF(B975="","",IFERROR(INDEX(Settings!$B$10:$B$21,MATCH(B975,Settings!$A$10:$A$21,0)),4))</f>
        <v/>
      </c>
      <c r="J975" s="22">
        <f>IF(OR(A975="",C975="",I975=""),"",I975*H975*C975/60)</f>
        <v/>
      </c>
    </row>
    <row r="976">
      <c r="A976" s="35" t="n"/>
      <c r="B976" s="33" t="n"/>
      <c r="C976" s="31" t="n"/>
      <c r="D976" s="30" t="n"/>
      <c r="E976" s="33" t="n"/>
      <c r="F976" s="20">
        <f>IF(A976="","",WEEKNUM(A976,21))</f>
        <v/>
      </c>
      <c r="G976" s="21">
        <f>IF(OR(C976="",N(D976)=0),"",C976/D976)</f>
        <v/>
      </c>
      <c r="H976" s="21">
        <f>IF(A976="","",IFERROR(INDEX(Weight!$B$2:$B$1000,MATCH(IF(_xlfn.MAXIFS(Weight!$A$2:$A$1000,Weight!$A$2:$A$1000,"&lt;="&amp;A976)&gt;0,_xlfn.MAXIFS(Weight!$A$2:$A$1000,Weight!$A$2:$A$1000,"&lt;="&amp;A976),_xlfn.MINIFS(Weight!$A$2:$A$1000,Weight!$A$2:$A$1000,"&gt;0")),Weight!$A$2:$A$1000,0)),Settings!$B$6))</f>
        <v/>
      </c>
      <c r="I976" s="21">
        <f>IF(B976="","",IFERROR(INDEX(Settings!$B$10:$B$21,MATCH(B976,Settings!$A$10:$A$21,0)),4))</f>
        <v/>
      </c>
      <c r="J976" s="22">
        <f>IF(OR(A976="",C976="",I976=""),"",I976*H976*C976/60)</f>
        <v/>
      </c>
    </row>
    <row r="977">
      <c r="A977" s="35" t="n"/>
      <c r="B977" s="33" t="n"/>
      <c r="C977" s="31" t="n"/>
      <c r="D977" s="30" t="n"/>
      <c r="E977" s="33" t="n"/>
      <c r="F977" s="20">
        <f>IF(A977="","",WEEKNUM(A977,21))</f>
        <v/>
      </c>
      <c r="G977" s="21">
        <f>IF(OR(C977="",N(D977)=0),"",C977/D977)</f>
        <v/>
      </c>
      <c r="H977" s="21">
        <f>IF(A977="","",IFERROR(INDEX(Weight!$B$2:$B$1000,MATCH(IF(_xlfn.MAXIFS(Weight!$A$2:$A$1000,Weight!$A$2:$A$1000,"&lt;="&amp;A977)&gt;0,_xlfn.MAXIFS(Weight!$A$2:$A$1000,Weight!$A$2:$A$1000,"&lt;="&amp;A977),_xlfn.MINIFS(Weight!$A$2:$A$1000,Weight!$A$2:$A$1000,"&gt;0")),Weight!$A$2:$A$1000,0)),Settings!$B$6))</f>
        <v/>
      </c>
      <c r="I977" s="21">
        <f>IF(B977="","",IFERROR(INDEX(Settings!$B$10:$B$21,MATCH(B977,Settings!$A$10:$A$21,0)),4))</f>
        <v/>
      </c>
      <c r="J977" s="22">
        <f>IF(OR(A977="",C977="",I977=""),"",I977*H977*C977/60)</f>
        <v/>
      </c>
    </row>
    <row r="978">
      <c r="A978" s="35" t="n"/>
      <c r="B978" s="33" t="n"/>
      <c r="C978" s="31" t="n"/>
      <c r="D978" s="30" t="n"/>
      <c r="E978" s="33" t="n"/>
      <c r="F978" s="20">
        <f>IF(A978="","",WEEKNUM(A978,21))</f>
        <v/>
      </c>
      <c r="G978" s="21">
        <f>IF(OR(C978="",N(D978)=0),"",C978/D978)</f>
        <v/>
      </c>
      <c r="H978" s="21">
        <f>IF(A978="","",IFERROR(INDEX(Weight!$B$2:$B$1000,MATCH(IF(_xlfn.MAXIFS(Weight!$A$2:$A$1000,Weight!$A$2:$A$1000,"&lt;="&amp;A978)&gt;0,_xlfn.MAXIFS(Weight!$A$2:$A$1000,Weight!$A$2:$A$1000,"&lt;="&amp;A978),_xlfn.MINIFS(Weight!$A$2:$A$1000,Weight!$A$2:$A$1000,"&gt;0")),Weight!$A$2:$A$1000,0)),Settings!$B$6))</f>
        <v/>
      </c>
      <c r="I978" s="21">
        <f>IF(B978="","",IFERROR(INDEX(Settings!$B$10:$B$21,MATCH(B978,Settings!$A$10:$A$21,0)),4))</f>
        <v/>
      </c>
      <c r="J978" s="22">
        <f>IF(OR(A978="",C978="",I978=""),"",I978*H978*C978/60)</f>
        <v/>
      </c>
    </row>
    <row r="979">
      <c r="A979" s="35" t="n"/>
      <c r="B979" s="33" t="n"/>
      <c r="C979" s="31" t="n"/>
      <c r="D979" s="30" t="n"/>
      <c r="E979" s="33" t="n"/>
      <c r="F979" s="20">
        <f>IF(A979="","",WEEKNUM(A979,21))</f>
        <v/>
      </c>
      <c r="G979" s="21">
        <f>IF(OR(C979="",N(D979)=0),"",C979/D979)</f>
        <v/>
      </c>
      <c r="H979" s="21">
        <f>IF(A979="","",IFERROR(INDEX(Weight!$B$2:$B$1000,MATCH(IF(_xlfn.MAXIFS(Weight!$A$2:$A$1000,Weight!$A$2:$A$1000,"&lt;="&amp;A979)&gt;0,_xlfn.MAXIFS(Weight!$A$2:$A$1000,Weight!$A$2:$A$1000,"&lt;="&amp;A979),_xlfn.MINIFS(Weight!$A$2:$A$1000,Weight!$A$2:$A$1000,"&gt;0")),Weight!$A$2:$A$1000,0)),Settings!$B$6))</f>
        <v/>
      </c>
      <c r="I979" s="21">
        <f>IF(B979="","",IFERROR(INDEX(Settings!$B$10:$B$21,MATCH(B979,Settings!$A$10:$A$21,0)),4))</f>
        <v/>
      </c>
      <c r="J979" s="22">
        <f>IF(OR(A979="",C979="",I979=""),"",I979*H979*C979/60)</f>
        <v/>
      </c>
    </row>
    <row r="980">
      <c r="A980" s="35" t="n"/>
      <c r="B980" s="33" t="n"/>
      <c r="C980" s="31" t="n"/>
      <c r="D980" s="30" t="n"/>
      <c r="E980" s="33" t="n"/>
      <c r="F980" s="20">
        <f>IF(A980="","",WEEKNUM(A980,21))</f>
        <v/>
      </c>
      <c r="G980" s="21">
        <f>IF(OR(C980="",N(D980)=0),"",C980/D980)</f>
        <v/>
      </c>
      <c r="H980" s="21">
        <f>IF(A980="","",IFERROR(INDEX(Weight!$B$2:$B$1000,MATCH(IF(_xlfn.MAXIFS(Weight!$A$2:$A$1000,Weight!$A$2:$A$1000,"&lt;="&amp;A980)&gt;0,_xlfn.MAXIFS(Weight!$A$2:$A$1000,Weight!$A$2:$A$1000,"&lt;="&amp;A980),_xlfn.MINIFS(Weight!$A$2:$A$1000,Weight!$A$2:$A$1000,"&gt;0")),Weight!$A$2:$A$1000,0)),Settings!$B$6))</f>
        <v/>
      </c>
      <c r="I980" s="21">
        <f>IF(B980="","",IFERROR(INDEX(Settings!$B$10:$B$21,MATCH(B980,Settings!$A$10:$A$21,0)),4))</f>
        <v/>
      </c>
      <c r="J980" s="22">
        <f>IF(OR(A980="",C980="",I980=""),"",I980*H980*C980/60)</f>
        <v/>
      </c>
    </row>
    <row r="981">
      <c r="A981" s="35" t="n"/>
      <c r="B981" s="33" t="n"/>
      <c r="C981" s="31" t="n"/>
      <c r="D981" s="30" t="n"/>
      <c r="E981" s="33" t="n"/>
      <c r="F981" s="20">
        <f>IF(A981="","",WEEKNUM(A981,21))</f>
        <v/>
      </c>
      <c r="G981" s="21">
        <f>IF(OR(C981="",N(D981)=0),"",C981/D981)</f>
        <v/>
      </c>
      <c r="H981" s="21">
        <f>IF(A981="","",IFERROR(INDEX(Weight!$B$2:$B$1000,MATCH(IF(_xlfn.MAXIFS(Weight!$A$2:$A$1000,Weight!$A$2:$A$1000,"&lt;="&amp;A981)&gt;0,_xlfn.MAXIFS(Weight!$A$2:$A$1000,Weight!$A$2:$A$1000,"&lt;="&amp;A981),_xlfn.MINIFS(Weight!$A$2:$A$1000,Weight!$A$2:$A$1000,"&gt;0")),Weight!$A$2:$A$1000,0)),Settings!$B$6))</f>
        <v/>
      </c>
      <c r="I981" s="21">
        <f>IF(B981="","",IFERROR(INDEX(Settings!$B$10:$B$21,MATCH(B981,Settings!$A$10:$A$21,0)),4))</f>
        <v/>
      </c>
      <c r="J981" s="22">
        <f>IF(OR(A981="",C981="",I981=""),"",I981*H981*C981/60)</f>
        <v/>
      </c>
    </row>
    <row r="982">
      <c r="A982" s="35" t="n"/>
      <c r="B982" s="33" t="n"/>
      <c r="C982" s="31" t="n"/>
      <c r="D982" s="30" t="n"/>
      <c r="E982" s="33" t="n"/>
      <c r="F982" s="20">
        <f>IF(A982="","",WEEKNUM(A982,21))</f>
        <v/>
      </c>
      <c r="G982" s="21">
        <f>IF(OR(C982="",N(D982)=0),"",C982/D982)</f>
        <v/>
      </c>
      <c r="H982" s="21">
        <f>IF(A982="","",IFERROR(INDEX(Weight!$B$2:$B$1000,MATCH(IF(_xlfn.MAXIFS(Weight!$A$2:$A$1000,Weight!$A$2:$A$1000,"&lt;="&amp;A982)&gt;0,_xlfn.MAXIFS(Weight!$A$2:$A$1000,Weight!$A$2:$A$1000,"&lt;="&amp;A982),_xlfn.MINIFS(Weight!$A$2:$A$1000,Weight!$A$2:$A$1000,"&gt;0")),Weight!$A$2:$A$1000,0)),Settings!$B$6))</f>
        <v/>
      </c>
      <c r="I982" s="21">
        <f>IF(B982="","",IFERROR(INDEX(Settings!$B$10:$B$21,MATCH(B982,Settings!$A$10:$A$21,0)),4))</f>
        <v/>
      </c>
      <c r="J982" s="22">
        <f>IF(OR(A982="",C982="",I982=""),"",I982*H982*C982/60)</f>
        <v/>
      </c>
    </row>
    <row r="983">
      <c r="A983" s="35" t="n"/>
      <c r="B983" s="33" t="n"/>
      <c r="C983" s="31" t="n"/>
      <c r="D983" s="30" t="n"/>
      <c r="E983" s="33" t="n"/>
      <c r="F983" s="20">
        <f>IF(A983="","",WEEKNUM(A983,21))</f>
        <v/>
      </c>
      <c r="G983" s="21">
        <f>IF(OR(C983="",N(D983)=0),"",C983/D983)</f>
        <v/>
      </c>
      <c r="H983" s="21">
        <f>IF(A983="","",IFERROR(INDEX(Weight!$B$2:$B$1000,MATCH(IF(_xlfn.MAXIFS(Weight!$A$2:$A$1000,Weight!$A$2:$A$1000,"&lt;="&amp;A983)&gt;0,_xlfn.MAXIFS(Weight!$A$2:$A$1000,Weight!$A$2:$A$1000,"&lt;="&amp;A983),_xlfn.MINIFS(Weight!$A$2:$A$1000,Weight!$A$2:$A$1000,"&gt;0")),Weight!$A$2:$A$1000,0)),Settings!$B$6))</f>
        <v/>
      </c>
      <c r="I983" s="21">
        <f>IF(B983="","",IFERROR(INDEX(Settings!$B$10:$B$21,MATCH(B983,Settings!$A$10:$A$21,0)),4))</f>
        <v/>
      </c>
      <c r="J983" s="22">
        <f>IF(OR(A983="",C983="",I983=""),"",I983*H983*C983/60)</f>
        <v/>
      </c>
    </row>
    <row r="984">
      <c r="A984" s="35" t="n"/>
      <c r="B984" s="33" t="n"/>
      <c r="C984" s="31" t="n"/>
      <c r="D984" s="30" t="n"/>
      <c r="E984" s="33" t="n"/>
      <c r="F984" s="20">
        <f>IF(A984="","",WEEKNUM(A984,21))</f>
        <v/>
      </c>
      <c r="G984" s="21">
        <f>IF(OR(C984="",N(D984)=0),"",C984/D984)</f>
        <v/>
      </c>
      <c r="H984" s="21">
        <f>IF(A984="","",IFERROR(INDEX(Weight!$B$2:$B$1000,MATCH(IF(_xlfn.MAXIFS(Weight!$A$2:$A$1000,Weight!$A$2:$A$1000,"&lt;="&amp;A984)&gt;0,_xlfn.MAXIFS(Weight!$A$2:$A$1000,Weight!$A$2:$A$1000,"&lt;="&amp;A984),_xlfn.MINIFS(Weight!$A$2:$A$1000,Weight!$A$2:$A$1000,"&gt;0")),Weight!$A$2:$A$1000,0)),Settings!$B$6))</f>
        <v/>
      </c>
      <c r="I984" s="21">
        <f>IF(B984="","",IFERROR(INDEX(Settings!$B$10:$B$21,MATCH(B984,Settings!$A$10:$A$21,0)),4))</f>
        <v/>
      </c>
      <c r="J984" s="22">
        <f>IF(OR(A984="",C984="",I984=""),"",I984*H984*C984/60)</f>
        <v/>
      </c>
    </row>
    <row r="985">
      <c r="A985" s="35" t="n"/>
      <c r="B985" s="33" t="n"/>
      <c r="C985" s="31" t="n"/>
      <c r="D985" s="30" t="n"/>
      <c r="E985" s="33" t="n"/>
      <c r="F985" s="20">
        <f>IF(A985="","",WEEKNUM(A985,21))</f>
        <v/>
      </c>
      <c r="G985" s="21">
        <f>IF(OR(C985="",N(D985)=0),"",C985/D985)</f>
        <v/>
      </c>
      <c r="H985" s="21">
        <f>IF(A985="","",IFERROR(INDEX(Weight!$B$2:$B$1000,MATCH(IF(_xlfn.MAXIFS(Weight!$A$2:$A$1000,Weight!$A$2:$A$1000,"&lt;="&amp;A985)&gt;0,_xlfn.MAXIFS(Weight!$A$2:$A$1000,Weight!$A$2:$A$1000,"&lt;="&amp;A985),_xlfn.MINIFS(Weight!$A$2:$A$1000,Weight!$A$2:$A$1000,"&gt;0")),Weight!$A$2:$A$1000,0)),Settings!$B$6))</f>
        <v/>
      </c>
      <c r="I985" s="21">
        <f>IF(B985="","",IFERROR(INDEX(Settings!$B$10:$B$21,MATCH(B985,Settings!$A$10:$A$21,0)),4))</f>
        <v/>
      </c>
      <c r="J985" s="22">
        <f>IF(OR(A985="",C985="",I985=""),"",I985*H985*C985/60)</f>
        <v/>
      </c>
    </row>
    <row r="986">
      <c r="A986" s="35" t="n"/>
      <c r="B986" s="33" t="n"/>
      <c r="C986" s="31" t="n"/>
      <c r="D986" s="30" t="n"/>
      <c r="E986" s="33" t="n"/>
      <c r="F986" s="20">
        <f>IF(A986="","",WEEKNUM(A986,21))</f>
        <v/>
      </c>
      <c r="G986" s="21">
        <f>IF(OR(C986="",N(D986)=0),"",C986/D986)</f>
        <v/>
      </c>
      <c r="H986" s="21">
        <f>IF(A986="","",IFERROR(INDEX(Weight!$B$2:$B$1000,MATCH(IF(_xlfn.MAXIFS(Weight!$A$2:$A$1000,Weight!$A$2:$A$1000,"&lt;="&amp;A986)&gt;0,_xlfn.MAXIFS(Weight!$A$2:$A$1000,Weight!$A$2:$A$1000,"&lt;="&amp;A986),_xlfn.MINIFS(Weight!$A$2:$A$1000,Weight!$A$2:$A$1000,"&gt;0")),Weight!$A$2:$A$1000,0)),Settings!$B$6))</f>
        <v/>
      </c>
      <c r="I986" s="21">
        <f>IF(B986="","",IFERROR(INDEX(Settings!$B$10:$B$21,MATCH(B986,Settings!$A$10:$A$21,0)),4))</f>
        <v/>
      </c>
      <c r="J986" s="22">
        <f>IF(OR(A986="",C986="",I986=""),"",I986*H986*C986/60)</f>
        <v/>
      </c>
    </row>
    <row r="987">
      <c r="A987" s="35" t="n"/>
      <c r="B987" s="33" t="n"/>
      <c r="C987" s="31" t="n"/>
      <c r="D987" s="30" t="n"/>
      <c r="E987" s="33" t="n"/>
      <c r="F987" s="20">
        <f>IF(A987="","",WEEKNUM(A987,21))</f>
        <v/>
      </c>
      <c r="G987" s="21">
        <f>IF(OR(C987="",N(D987)=0),"",C987/D987)</f>
        <v/>
      </c>
      <c r="H987" s="21">
        <f>IF(A987="","",IFERROR(INDEX(Weight!$B$2:$B$1000,MATCH(IF(_xlfn.MAXIFS(Weight!$A$2:$A$1000,Weight!$A$2:$A$1000,"&lt;="&amp;A987)&gt;0,_xlfn.MAXIFS(Weight!$A$2:$A$1000,Weight!$A$2:$A$1000,"&lt;="&amp;A987),_xlfn.MINIFS(Weight!$A$2:$A$1000,Weight!$A$2:$A$1000,"&gt;0")),Weight!$A$2:$A$1000,0)),Settings!$B$6))</f>
        <v/>
      </c>
      <c r="I987" s="21">
        <f>IF(B987="","",IFERROR(INDEX(Settings!$B$10:$B$21,MATCH(B987,Settings!$A$10:$A$21,0)),4))</f>
        <v/>
      </c>
      <c r="J987" s="22">
        <f>IF(OR(A987="",C987="",I987=""),"",I987*H987*C987/60)</f>
        <v/>
      </c>
    </row>
    <row r="988">
      <c r="A988" s="35" t="n"/>
      <c r="B988" s="33" t="n"/>
      <c r="C988" s="31" t="n"/>
      <c r="D988" s="30" t="n"/>
      <c r="E988" s="33" t="n"/>
      <c r="F988" s="20">
        <f>IF(A988="","",WEEKNUM(A988,21))</f>
        <v/>
      </c>
      <c r="G988" s="21">
        <f>IF(OR(C988="",N(D988)=0),"",C988/D988)</f>
        <v/>
      </c>
      <c r="H988" s="21">
        <f>IF(A988="","",IFERROR(INDEX(Weight!$B$2:$B$1000,MATCH(IF(_xlfn.MAXIFS(Weight!$A$2:$A$1000,Weight!$A$2:$A$1000,"&lt;="&amp;A988)&gt;0,_xlfn.MAXIFS(Weight!$A$2:$A$1000,Weight!$A$2:$A$1000,"&lt;="&amp;A988),_xlfn.MINIFS(Weight!$A$2:$A$1000,Weight!$A$2:$A$1000,"&gt;0")),Weight!$A$2:$A$1000,0)),Settings!$B$6))</f>
        <v/>
      </c>
      <c r="I988" s="21">
        <f>IF(B988="","",IFERROR(INDEX(Settings!$B$10:$B$21,MATCH(B988,Settings!$A$10:$A$21,0)),4))</f>
        <v/>
      </c>
      <c r="J988" s="22">
        <f>IF(OR(A988="",C988="",I988=""),"",I988*H988*C988/60)</f>
        <v/>
      </c>
    </row>
    <row r="989">
      <c r="A989" s="35" t="n"/>
      <c r="B989" s="33" t="n"/>
      <c r="C989" s="31" t="n"/>
      <c r="D989" s="30" t="n"/>
      <c r="E989" s="33" t="n"/>
      <c r="F989" s="20">
        <f>IF(A989="","",WEEKNUM(A989,21))</f>
        <v/>
      </c>
      <c r="G989" s="21">
        <f>IF(OR(C989="",N(D989)=0),"",C989/D989)</f>
        <v/>
      </c>
      <c r="H989" s="21">
        <f>IF(A989="","",IFERROR(INDEX(Weight!$B$2:$B$1000,MATCH(IF(_xlfn.MAXIFS(Weight!$A$2:$A$1000,Weight!$A$2:$A$1000,"&lt;="&amp;A989)&gt;0,_xlfn.MAXIFS(Weight!$A$2:$A$1000,Weight!$A$2:$A$1000,"&lt;="&amp;A989),_xlfn.MINIFS(Weight!$A$2:$A$1000,Weight!$A$2:$A$1000,"&gt;0")),Weight!$A$2:$A$1000,0)),Settings!$B$6))</f>
        <v/>
      </c>
      <c r="I989" s="21">
        <f>IF(B989="","",IFERROR(INDEX(Settings!$B$10:$B$21,MATCH(B989,Settings!$A$10:$A$21,0)),4))</f>
        <v/>
      </c>
      <c r="J989" s="22">
        <f>IF(OR(A989="",C989="",I989=""),"",I989*H989*C989/60)</f>
        <v/>
      </c>
    </row>
    <row r="990">
      <c r="A990" s="35" t="n"/>
      <c r="B990" s="33" t="n"/>
      <c r="C990" s="31" t="n"/>
      <c r="D990" s="30" t="n"/>
      <c r="E990" s="33" t="n"/>
      <c r="F990" s="20">
        <f>IF(A990="","",WEEKNUM(A990,21))</f>
        <v/>
      </c>
      <c r="G990" s="21">
        <f>IF(OR(C990="",N(D990)=0),"",C990/D990)</f>
        <v/>
      </c>
      <c r="H990" s="21">
        <f>IF(A990="","",IFERROR(INDEX(Weight!$B$2:$B$1000,MATCH(IF(_xlfn.MAXIFS(Weight!$A$2:$A$1000,Weight!$A$2:$A$1000,"&lt;="&amp;A990)&gt;0,_xlfn.MAXIFS(Weight!$A$2:$A$1000,Weight!$A$2:$A$1000,"&lt;="&amp;A990),_xlfn.MINIFS(Weight!$A$2:$A$1000,Weight!$A$2:$A$1000,"&gt;0")),Weight!$A$2:$A$1000,0)),Settings!$B$6))</f>
        <v/>
      </c>
      <c r="I990" s="21">
        <f>IF(B990="","",IFERROR(INDEX(Settings!$B$10:$B$21,MATCH(B990,Settings!$A$10:$A$21,0)),4))</f>
        <v/>
      </c>
      <c r="J990" s="22">
        <f>IF(OR(A990="",C990="",I990=""),"",I990*H990*C990/60)</f>
        <v/>
      </c>
    </row>
    <row r="991">
      <c r="A991" s="35" t="n"/>
      <c r="B991" s="33" t="n"/>
      <c r="C991" s="31" t="n"/>
      <c r="D991" s="30" t="n"/>
      <c r="E991" s="33" t="n"/>
      <c r="F991" s="20">
        <f>IF(A991="","",WEEKNUM(A991,21))</f>
        <v/>
      </c>
      <c r="G991" s="21">
        <f>IF(OR(C991="",N(D991)=0),"",C991/D991)</f>
        <v/>
      </c>
      <c r="H991" s="21">
        <f>IF(A991="","",IFERROR(INDEX(Weight!$B$2:$B$1000,MATCH(IF(_xlfn.MAXIFS(Weight!$A$2:$A$1000,Weight!$A$2:$A$1000,"&lt;="&amp;A991)&gt;0,_xlfn.MAXIFS(Weight!$A$2:$A$1000,Weight!$A$2:$A$1000,"&lt;="&amp;A991),_xlfn.MINIFS(Weight!$A$2:$A$1000,Weight!$A$2:$A$1000,"&gt;0")),Weight!$A$2:$A$1000,0)),Settings!$B$6))</f>
        <v/>
      </c>
      <c r="I991" s="21">
        <f>IF(B991="","",IFERROR(INDEX(Settings!$B$10:$B$21,MATCH(B991,Settings!$A$10:$A$21,0)),4))</f>
        <v/>
      </c>
      <c r="J991" s="22">
        <f>IF(OR(A991="",C991="",I991=""),"",I991*H991*C991/60)</f>
        <v/>
      </c>
    </row>
    <row r="992">
      <c r="A992" s="35" t="n"/>
      <c r="B992" s="33" t="n"/>
      <c r="C992" s="31" t="n"/>
      <c r="D992" s="30" t="n"/>
      <c r="E992" s="33" t="n"/>
      <c r="F992" s="20">
        <f>IF(A992="","",WEEKNUM(A992,21))</f>
        <v/>
      </c>
      <c r="G992" s="21">
        <f>IF(OR(C992="",N(D992)=0),"",C992/D992)</f>
        <v/>
      </c>
      <c r="H992" s="21">
        <f>IF(A992="","",IFERROR(INDEX(Weight!$B$2:$B$1000,MATCH(IF(_xlfn.MAXIFS(Weight!$A$2:$A$1000,Weight!$A$2:$A$1000,"&lt;="&amp;A992)&gt;0,_xlfn.MAXIFS(Weight!$A$2:$A$1000,Weight!$A$2:$A$1000,"&lt;="&amp;A992),_xlfn.MINIFS(Weight!$A$2:$A$1000,Weight!$A$2:$A$1000,"&gt;0")),Weight!$A$2:$A$1000,0)),Settings!$B$6))</f>
        <v/>
      </c>
      <c r="I992" s="21">
        <f>IF(B992="","",IFERROR(INDEX(Settings!$B$10:$B$21,MATCH(B992,Settings!$A$10:$A$21,0)),4))</f>
        <v/>
      </c>
      <c r="J992" s="22">
        <f>IF(OR(A992="",C992="",I992=""),"",I992*H992*C992/60)</f>
        <v/>
      </c>
    </row>
    <row r="993">
      <c r="A993" s="35" t="n"/>
      <c r="B993" s="33" t="n"/>
      <c r="C993" s="31" t="n"/>
      <c r="D993" s="30" t="n"/>
      <c r="E993" s="33" t="n"/>
      <c r="F993" s="20">
        <f>IF(A993="","",WEEKNUM(A993,21))</f>
        <v/>
      </c>
      <c r="G993" s="21">
        <f>IF(OR(C993="",N(D993)=0),"",C993/D993)</f>
        <v/>
      </c>
      <c r="H993" s="21">
        <f>IF(A993="","",IFERROR(INDEX(Weight!$B$2:$B$1000,MATCH(IF(_xlfn.MAXIFS(Weight!$A$2:$A$1000,Weight!$A$2:$A$1000,"&lt;="&amp;A993)&gt;0,_xlfn.MAXIFS(Weight!$A$2:$A$1000,Weight!$A$2:$A$1000,"&lt;="&amp;A993),_xlfn.MINIFS(Weight!$A$2:$A$1000,Weight!$A$2:$A$1000,"&gt;0")),Weight!$A$2:$A$1000,0)),Settings!$B$6))</f>
        <v/>
      </c>
      <c r="I993" s="21">
        <f>IF(B993="","",IFERROR(INDEX(Settings!$B$10:$B$21,MATCH(B993,Settings!$A$10:$A$21,0)),4))</f>
        <v/>
      </c>
      <c r="J993" s="22">
        <f>IF(OR(A993="",C993="",I993=""),"",I993*H993*C993/60)</f>
        <v/>
      </c>
    </row>
    <row r="994">
      <c r="A994" s="35" t="n"/>
      <c r="B994" s="33" t="n"/>
      <c r="C994" s="31" t="n"/>
      <c r="D994" s="30" t="n"/>
      <c r="E994" s="33" t="n"/>
      <c r="F994" s="20">
        <f>IF(A994="","",WEEKNUM(A994,21))</f>
        <v/>
      </c>
      <c r="G994" s="21">
        <f>IF(OR(C994="",N(D994)=0),"",C994/D994)</f>
        <v/>
      </c>
      <c r="H994" s="21">
        <f>IF(A994="","",IFERROR(INDEX(Weight!$B$2:$B$1000,MATCH(IF(_xlfn.MAXIFS(Weight!$A$2:$A$1000,Weight!$A$2:$A$1000,"&lt;="&amp;A994)&gt;0,_xlfn.MAXIFS(Weight!$A$2:$A$1000,Weight!$A$2:$A$1000,"&lt;="&amp;A994),_xlfn.MINIFS(Weight!$A$2:$A$1000,Weight!$A$2:$A$1000,"&gt;0")),Weight!$A$2:$A$1000,0)),Settings!$B$6))</f>
        <v/>
      </c>
      <c r="I994" s="21">
        <f>IF(B994="","",IFERROR(INDEX(Settings!$B$10:$B$21,MATCH(B994,Settings!$A$10:$A$21,0)),4))</f>
        <v/>
      </c>
      <c r="J994" s="22">
        <f>IF(OR(A994="",C994="",I994=""),"",I994*H994*C994/60)</f>
        <v/>
      </c>
    </row>
    <row r="995">
      <c r="A995" s="35" t="n"/>
      <c r="B995" s="33" t="n"/>
      <c r="C995" s="31" t="n"/>
      <c r="D995" s="30" t="n"/>
      <c r="E995" s="33" t="n"/>
      <c r="F995" s="20">
        <f>IF(A995="","",WEEKNUM(A995,21))</f>
        <v/>
      </c>
      <c r="G995" s="21">
        <f>IF(OR(C995="",N(D995)=0),"",C995/D995)</f>
        <v/>
      </c>
      <c r="H995" s="21">
        <f>IF(A995="","",IFERROR(INDEX(Weight!$B$2:$B$1000,MATCH(IF(_xlfn.MAXIFS(Weight!$A$2:$A$1000,Weight!$A$2:$A$1000,"&lt;="&amp;A995)&gt;0,_xlfn.MAXIFS(Weight!$A$2:$A$1000,Weight!$A$2:$A$1000,"&lt;="&amp;A995),_xlfn.MINIFS(Weight!$A$2:$A$1000,Weight!$A$2:$A$1000,"&gt;0")),Weight!$A$2:$A$1000,0)),Settings!$B$6))</f>
        <v/>
      </c>
      <c r="I995" s="21">
        <f>IF(B995="","",IFERROR(INDEX(Settings!$B$10:$B$21,MATCH(B995,Settings!$A$10:$A$21,0)),4))</f>
        <v/>
      </c>
      <c r="J995" s="22">
        <f>IF(OR(A995="",C995="",I995=""),"",I995*H995*C995/60)</f>
        <v/>
      </c>
    </row>
    <row r="996">
      <c r="A996" s="35" t="n"/>
      <c r="B996" s="33" t="n"/>
      <c r="C996" s="31" t="n"/>
      <c r="D996" s="30" t="n"/>
      <c r="E996" s="33" t="n"/>
      <c r="F996" s="20">
        <f>IF(A996="","",WEEKNUM(A996,21))</f>
        <v/>
      </c>
      <c r="G996" s="21">
        <f>IF(OR(C996="",N(D996)=0),"",C996/D996)</f>
        <v/>
      </c>
      <c r="H996" s="21">
        <f>IF(A996="","",IFERROR(INDEX(Weight!$B$2:$B$1000,MATCH(IF(_xlfn.MAXIFS(Weight!$A$2:$A$1000,Weight!$A$2:$A$1000,"&lt;="&amp;A996)&gt;0,_xlfn.MAXIFS(Weight!$A$2:$A$1000,Weight!$A$2:$A$1000,"&lt;="&amp;A996),_xlfn.MINIFS(Weight!$A$2:$A$1000,Weight!$A$2:$A$1000,"&gt;0")),Weight!$A$2:$A$1000,0)),Settings!$B$6))</f>
        <v/>
      </c>
      <c r="I996" s="21">
        <f>IF(B996="","",IFERROR(INDEX(Settings!$B$10:$B$21,MATCH(B996,Settings!$A$10:$A$21,0)),4))</f>
        <v/>
      </c>
      <c r="J996" s="22">
        <f>IF(OR(A996="",C996="",I996=""),"",I996*H996*C996/60)</f>
        <v/>
      </c>
    </row>
    <row r="997">
      <c r="A997" s="35" t="n"/>
      <c r="B997" s="33" t="n"/>
      <c r="C997" s="31" t="n"/>
      <c r="D997" s="30" t="n"/>
      <c r="E997" s="33" t="n"/>
      <c r="F997" s="20">
        <f>IF(A997="","",WEEKNUM(A997,21))</f>
        <v/>
      </c>
      <c r="G997" s="21">
        <f>IF(OR(C997="",N(D997)=0),"",C997/D997)</f>
        <v/>
      </c>
      <c r="H997" s="21">
        <f>IF(A997="","",IFERROR(INDEX(Weight!$B$2:$B$1000,MATCH(IF(_xlfn.MAXIFS(Weight!$A$2:$A$1000,Weight!$A$2:$A$1000,"&lt;="&amp;A997)&gt;0,_xlfn.MAXIFS(Weight!$A$2:$A$1000,Weight!$A$2:$A$1000,"&lt;="&amp;A997),_xlfn.MINIFS(Weight!$A$2:$A$1000,Weight!$A$2:$A$1000,"&gt;0")),Weight!$A$2:$A$1000,0)),Settings!$B$6))</f>
        <v/>
      </c>
      <c r="I997" s="21">
        <f>IF(B997="","",IFERROR(INDEX(Settings!$B$10:$B$21,MATCH(B997,Settings!$A$10:$A$21,0)),4))</f>
        <v/>
      </c>
      <c r="J997" s="22">
        <f>IF(OR(A997="",C997="",I997=""),"",I997*H997*C997/60)</f>
        <v/>
      </c>
    </row>
    <row r="998">
      <c r="A998" s="35" t="n"/>
      <c r="B998" s="33" t="n"/>
      <c r="C998" s="31" t="n"/>
      <c r="D998" s="30" t="n"/>
      <c r="E998" s="33" t="n"/>
      <c r="F998" s="20">
        <f>IF(A998="","",WEEKNUM(A998,21))</f>
        <v/>
      </c>
      <c r="G998" s="21">
        <f>IF(OR(C998="",N(D998)=0),"",C998/D998)</f>
        <v/>
      </c>
      <c r="H998" s="21">
        <f>IF(A998="","",IFERROR(INDEX(Weight!$B$2:$B$1000,MATCH(IF(_xlfn.MAXIFS(Weight!$A$2:$A$1000,Weight!$A$2:$A$1000,"&lt;="&amp;A998)&gt;0,_xlfn.MAXIFS(Weight!$A$2:$A$1000,Weight!$A$2:$A$1000,"&lt;="&amp;A998),_xlfn.MINIFS(Weight!$A$2:$A$1000,Weight!$A$2:$A$1000,"&gt;0")),Weight!$A$2:$A$1000,0)),Settings!$B$6))</f>
        <v/>
      </c>
      <c r="I998" s="21">
        <f>IF(B998="","",IFERROR(INDEX(Settings!$B$10:$B$21,MATCH(B998,Settings!$A$10:$A$21,0)),4))</f>
        <v/>
      </c>
      <c r="J998" s="22">
        <f>IF(OR(A998="",C998="",I998=""),"",I998*H998*C998/60)</f>
        <v/>
      </c>
    </row>
    <row r="999">
      <c r="A999" s="35" t="n"/>
      <c r="B999" s="33" t="n"/>
      <c r="C999" s="31" t="n"/>
      <c r="D999" s="30" t="n"/>
      <c r="E999" s="33" t="n"/>
      <c r="F999" s="20">
        <f>IF(A999="","",WEEKNUM(A999,21))</f>
        <v/>
      </c>
      <c r="G999" s="21">
        <f>IF(OR(C999="",N(D999)=0),"",C999/D999)</f>
        <v/>
      </c>
      <c r="H999" s="21">
        <f>IF(A999="","",IFERROR(INDEX(Weight!$B$2:$B$1000,MATCH(IF(_xlfn.MAXIFS(Weight!$A$2:$A$1000,Weight!$A$2:$A$1000,"&lt;="&amp;A999)&gt;0,_xlfn.MAXIFS(Weight!$A$2:$A$1000,Weight!$A$2:$A$1000,"&lt;="&amp;A999),_xlfn.MINIFS(Weight!$A$2:$A$1000,Weight!$A$2:$A$1000,"&gt;0")),Weight!$A$2:$A$1000,0)),Settings!$B$6))</f>
        <v/>
      </c>
      <c r="I999" s="21">
        <f>IF(B999="","",IFERROR(INDEX(Settings!$B$10:$B$21,MATCH(B999,Settings!$A$10:$A$21,0)),4))</f>
        <v/>
      </c>
      <c r="J999" s="22">
        <f>IF(OR(A999="",C999="",I999=""),"",I999*H999*C999/60)</f>
        <v/>
      </c>
    </row>
    <row r="1000">
      <c r="A1000" s="35" t="n"/>
      <c r="B1000" s="33" t="n"/>
      <c r="C1000" s="31" t="n"/>
      <c r="D1000" s="30" t="n"/>
      <c r="E1000" s="33" t="n"/>
      <c r="F1000" s="20">
        <f>IF(A1000="","",WEEKNUM(A1000,21))</f>
        <v/>
      </c>
      <c r="G1000" s="21">
        <f>IF(OR(C1000="",N(D1000)=0),"",C1000/D1000)</f>
        <v/>
      </c>
      <c r="H1000" s="21">
        <f>IF(A1000="","",IFERROR(INDEX(Weight!$B$2:$B$1000,MATCH(IF(_xlfn.MAXIFS(Weight!$A$2:$A$1000,Weight!$A$2:$A$1000,"&lt;="&amp;A1000)&gt;0,_xlfn.MAXIFS(Weight!$A$2:$A$1000,Weight!$A$2:$A$1000,"&lt;="&amp;A1000),_xlfn.MINIFS(Weight!$A$2:$A$1000,Weight!$A$2:$A$1000,"&gt;0")),Weight!$A$2:$A$1000,0)),Settings!$B$6))</f>
        <v/>
      </c>
      <c r="I1000" s="21">
        <f>IF(B1000="","",IFERROR(INDEX(Settings!$B$10:$B$21,MATCH(B1000,Settings!$A$10:$A$21,0)),4))</f>
        <v/>
      </c>
      <c r="J1000" s="22">
        <f>IF(OR(A1000="",C1000="",I1000=""),"",I1000*H1000*C1000/60)</f>
        <v/>
      </c>
    </row>
  </sheetData>
  <dataValidations count="4">
    <dataValidation sqref="B2:B1000" showDropDown="0" showInputMessage="0" showErrorMessage="1" allowBlank="0" error="Choose an activity from the list (edit the list in Settings)." type="list">
      <formula1>=ActivityList</formula1>
    </dataValidation>
    <dataValidation sqref="C2:C1000" showDropDown="0" showInputMessage="0" showErrorMessage="1" allowBlank="0" error="Duration in minutes (1-1440)." type="decimal" operator="between">
      <formula1>1</formula1>
      <formula2>1440</formula2>
    </dataValidation>
    <dataValidation sqref="D2:D1000" showDropDown="0" showInputMessage="0" showErrorMessage="1" allowBlank="0" error="Distance in km (0-1000)." type="decimal" operator="between">
      <formula1>0</formula1>
      <formula2>1000</formula2>
    </dataValidation>
    <dataValidation sqref="A2:A1000" showDropDown="0" showInputMessage="0" showErrorMessage="1" allowBlank="0" error="Enter a valid date." type="date" operator="between">
      <formula1>DATE(2000,1,1)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2026-10-01T15:06:51Z</dcterms:created>
  <dcterms:modified xsi:type="dcterms:W3CDTF">2026-10-01T15:06:52Z</dcterms:modified>
</cp:coreProperties>
</file>